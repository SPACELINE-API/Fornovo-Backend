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ic\OneDrive\Área de Trabalho\Material Fatec\API_4_Semestre(projeto)\Fornovo-Backend\ForBack\apps\dados_ia\services\templates_excel\"/>
    </mc:Choice>
  </mc:AlternateContent>
  <xr:revisionPtr revIDLastSave="0" documentId="13_ncr:1_{DCDB0940-17FE-4385-8027-E7DBD64E67FE}" xr6:coauthVersionLast="47" xr6:coauthVersionMax="47" xr10:uidLastSave="{00000000-0000-0000-0000-000000000000}"/>
  <bookViews>
    <workbookView xWindow="28680" yWindow="-120" windowWidth="21840" windowHeight="13140" tabRatio="500" xr2:uid="{00000000-000D-0000-FFFF-FFFF00000000}"/>
  </bookViews>
  <sheets>
    <sheet name="Levantamento Campo" sheetId="1" r:id="rId1"/>
    <sheet name="Serviços Preliminares" sheetId="2" r:id="rId2"/>
    <sheet name="Movimento de Solo" sheetId="3" r:id="rId3"/>
    <sheet name="Estruturas" sheetId="4" r:id="rId4"/>
    <sheet name="Alvenarias" sheetId="5" r:id="rId5"/>
    <sheet name="Acabamentos" sheetId="6" r:id="rId6"/>
    <sheet name="Inst Hidráulicas" sheetId="7" r:id="rId7"/>
    <sheet name="Inst Elétricas" sheetId="8" r:id="rId8"/>
    <sheet name="Inst de Telefonia e Rede" sheetId="9" r:id="rId9"/>
    <sheet name="Inst Mecânicas" sheetId="10" r:id="rId10"/>
    <sheet name="Inst Pressurizadas" sheetId="11" r:id="rId11"/>
    <sheet name="Inst de Segurança" sheetId="12" r:id="rId12"/>
    <sheet name="Comunicações Ambientais" sheetId="13" r:id="rId13"/>
    <sheet name="Paisagismos" sheetId="14" r:id="rId14"/>
    <sheet name="Entrega da Obra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0" i="1" l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N107" i="1"/>
  <c r="N106" i="1"/>
  <c r="N105" i="1"/>
  <c r="N104" i="1"/>
  <c r="N103" i="1"/>
  <c r="N102" i="1"/>
  <c r="N101" i="1"/>
  <c r="N100" i="1"/>
  <c r="N108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499" i="1"/>
  <c r="B498" i="1"/>
  <c r="B497" i="1"/>
  <c r="B496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46" i="1"/>
  <c r="B445" i="1"/>
  <c r="B441" i="1"/>
  <c r="B440" i="1"/>
  <c r="B439" i="1"/>
  <c r="B438" i="1"/>
  <c r="B437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68" i="1"/>
  <c r="B364" i="1"/>
  <c r="B363" i="1"/>
  <c r="B362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276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181" i="1"/>
  <c r="B167" i="1"/>
  <c r="B163" i="1"/>
  <c r="B162" i="1"/>
  <c r="B161" i="1"/>
  <c r="B160" i="1"/>
  <c r="B159" i="1"/>
  <c r="B297" i="1" s="1"/>
  <c r="B158" i="1"/>
  <c r="B296" i="1" s="1"/>
  <c r="B157" i="1"/>
  <c r="B295" i="1" s="1"/>
  <c r="B156" i="1"/>
  <c r="B294" i="1" s="1"/>
  <c r="B155" i="1"/>
  <c r="B293" i="1" s="1"/>
  <c r="B154" i="1"/>
  <c r="B195" i="1" s="1"/>
  <c r="B153" i="1"/>
  <c r="B194" i="1" s="1"/>
  <c r="B152" i="1"/>
  <c r="B193" i="1" s="1"/>
  <c r="B151" i="1"/>
  <c r="B192" i="1" s="1"/>
  <c r="B150" i="1"/>
  <c r="B191" i="1" s="1"/>
  <c r="B149" i="1"/>
  <c r="B190" i="1" s="1"/>
  <c r="B148" i="1"/>
  <c r="B189" i="1" s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96" i="1"/>
  <c r="H197" i="1"/>
  <c r="H198" i="1"/>
  <c r="H199" i="1"/>
  <c r="H200" i="1"/>
  <c r="H201" i="1"/>
  <c r="H221" i="1"/>
  <c r="L196" i="1"/>
  <c r="L197" i="1"/>
  <c r="L198" i="1"/>
  <c r="H299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B251" i="1"/>
  <c r="B250" i="1"/>
  <c r="B249" i="1"/>
  <c r="B248" i="1"/>
  <c r="B247" i="1"/>
  <c r="B246" i="1"/>
  <c r="B298" i="1"/>
  <c r="B305" i="1"/>
  <c r="P201" i="1"/>
  <c r="P200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L201" i="1"/>
  <c r="L200" i="1"/>
  <c r="L19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B196" i="1"/>
  <c r="B147" i="1"/>
  <c r="B188" i="1" s="1"/>
  <c r="B146" i="1"/>
  <c r="B187" i="1" s="1"/>
  <c r="B145" i="1"/>
  <c r="B186" i="1" s="1"/>
  <c r="B144" i="1"/>
  <c r="B185" i="1" s="1"/>
  <c r="B143" i="1"/>
  <c r="B184" i="1" s="1"/>
  <c r="B142" i="1"/>
  <c r="B183" i="1" s="1"/>
  <c r="B141" i="1"/>
  <c r="B182" i="1" s="1"/>
  <c r="B140" i="1"/>
  <c r="B165" i="1" s="1"/>
  <c r="B139" i="1"/>
  <c r="B180" i="1" s="1"/>
  <c r="B138" i="1"/>
  <c r="B179" i="1" s="1"/>
  <c r="B137" i="1"/>
  <c r="B178" i="1" s="1"/>
  <c r="B136" i="1"/>
  <c r="B177" i="1" s="1"/>
  <c r="B135" i="1"/>
  <c r="B176" i="1" s="1"/>
  <c r="B134" i="1"/>
  <c r="B175" i="1" s="1"/>
  <c r="B133" i="1"/>
  <c r="B174" i="1" s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S82" i="1"/>
  <c r="S81" i="1"/>
  <c r="S80" i="1"/>
  <c r="S79" i="1"/>
  <c r="S78" i="1"/>
  <c r="S77" i="1"/>
  <c r="S76" i="1"/>
  <c r="S75" i="1"/>
  <c r="S74" i="1"/>
  <c r="S73" i="1"/>
  <c r="S72" i="1"/>
  <c r="S71" i="1"/>
  <c r="S27" i="1"/>
  <c r="S26" i="1"/>
  <c r="S25" i="1"/>
  <c r="S24" i="1"/>
  <c r="N82" i="1"/>
  <c r="N81" i="1"/>
  <c r="N80" i="1"/>
  <c r="N79" i="1"/>
  <c r="N78" i="1"/>
  <c r="N77" i="1"/>
  <c r="N76" i="1"/>
  <c r="N75" i="1"/>
  <c r="N74" i="1"/>
  <c r="N73" i="1"/>
  <c r="N72" i="1"/>
  <c r="N71" i="1"/>
  <c r="N27" i="1"/>
  <c r="N26" i="1"/>
  <c r="N25" i="1"/>
  <c r="N24" i="1"/>
  <c r="I2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27" i="1"/>
  <c r="I26" i="1"/>
  <c r="I25" i="1"/>
  <c r="B1" i="15"/>
  <c r="B1" i="14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B1" i="13"/>
  <c r="AG43" i="12"/>
  <c r="AF43" i="12"/>
  <c r="AE43" i="12"/>
  <c r="AD43" i="12"/>
  <c r="AC43" i="12"/>
  <c r="AB43" i="12"/>
  <c r="AA43" i="12"/>
  <c r="Z43" i="12"/>
  <c r="Y43" i="12"/>
  <c r="W43" i="12"/>
  <c r="U43" i="12"/>
  <c r="J43" i="12"/>
  <c r="I43" i="12"/>
  <c r="S33" i="12"/>
  <c r="S17" i="12"/>
  <c r="R17" i="12"/>
  <c r="Q17" i="12"/>
  <c r="O17" i="12"/>
  <c r="N17" i="12"/>
  <c r="M17" i="12"/>
  <c r="L17" i="12"/>
  <c r="K17" i="12"/>
  <c r="J17" i="12"/>
  <c r="I17" i="12"/>
  <c r="E17" i="12"/>
  <c r="B1" i="12"/>
  <c r="AD17" i="11"/>
  <c r="AC17" i="11"/>
  <c r="AB17" i="11"/>
  <c r="AA17" i="11"/>
  <c r="Z17" i="11"/>
  <c r="Y17" i="11"/>
  <c r="X17" i="11"/>
  <c r="W17" i="11"/>
  <c r="V17" i="11"/>
  <c r="S17" i="11"/>
  <c r="Q17" i="11"/>
  <c r="N17" i="11"/>
  <c r="I17" i="11"/>
  <c r="G17" i="11"/>
  <c r="B1" i="11"/>
  <c r="M28" i="10"/>
  <c r="K28" i="10"/>
  <c r="J28" i="10"/>
  <c r="I28" i="10"/>
  <c r="H28" i="10"/>
  <c r="G28" i="10"/>
  <c r="E28" i="10"/>
  <c r="B1" i="10"/>
  <c r="AH25" i="9"/>
  <c r="AG25" i="9"/>
  <c r="AF25" i="9"/>
  <c r="AD25" i="9"/>
  <c r="AB25" i="9"/>
  <c r="AA25" i="9"/>
  <c r="Z25" i="9"/>
  <c r="Y25" i="9"/>
  <c r="X25" i="9"/>
  <c r="W25" i="9"/>
  <c r="V25" i="9"/>
  <c r="U25" i="9"/>
  <c r="T25" i="9"/>
  <c r="S25" i="9"/>
  <c r="O25" i="9"/>
  <c r="L25" i="9"/>
  <c r="K25" i="9"/>
  <c r="J25" i="9"/>
  <c r="I25" i="9"/>
  <c r="H25" i="9"/>
  <c r="B1" i="9"/>
  <c r="AO75" i="8"/>
  <c r="AN75" i="8"/>
  <c r="AM75" i="8"/>
  <c r="AK75" i="8"/>
  <c r="AI75" i="8"/>
  <c r="AG75" i="8"/>
  <c r="AE75" i="8"/>
  <c r="AD75" i="8"/>
  <c r="AC75" i="8"/>
  <c r="AB75" i="8"/>
  <c r="AA75" i="8"/>
  <c r="Z75" i="8"/>
  <c r="Y75" i="8"/>
  <c r="X75" i="8"/>
  <c r="W75" i="8"/>
  <c r="V75" i="8"/>
  <c r="R75" i="8"/>
  <c r="O75" i="8"/>
  <c r="N75" i="8"/>
  <c r="M75" i="8"/>
  <c r="L75" i="8"/>
  <c r="K75" i="8"/>
  <c r="J75" i="8"/>
  <c r="I75" i="8"/>
  <c r="H75" i="8"/>
  <c r="S49" i="8"/>
  <c r="Q49" i="8"/>
  <c r="O49" i="8"/>
  <c r="M49" i="8"/>
  <c r="L49" i="8"/>
  <c r="K49" i="8"/>
  <c r="J49" i="8"/>
  <c r="I49" i="8"/>
  <c r="H49" i="8"/>
  <c r="G49" i="8"/>
  <c r="U24" i="8"/>
  <c r="S24" i="8"/>
  <c r="Q24" i="8"/>
  <c r="O24" i="8"/>
  <c r="M24" i="8"/>
  <c r="L24" i="8"/>
  <c r="K24" i="8"/>
  <c r="J24" i="8"/>
  <c r="I24" i="8"/>
  <c r="H24" i="8"/>
  <c r="G24" i="8"/>
  <c r="B1" i="8"/>
  <c r="B1" i="7"/>
  <c r="I186" i="6"/>
  <c r="AD160" i="6"/>
  <c r="W160" i="6"/>
  <c r="T160" i="6"/>
  <c r="N160" i="6"/>
  <c r="I160" i="6"/>
  <c r="N133" i="6"/>
  <c r="I133" i="6"/>
  <c r="AC107" i="6"/>
  <c r="X107" i="6"/>
  <c r="T107" i="6"/>
  <c r="N107" i="6"/>
  <c r="I107" i="6"/>
  <c r="W81" i="6"/>
  <c r="V81" i="6"/>
  <c r="U81" i="6"/>
  <c r="T81" i="6"/>
  <c r="S81" i="6"/>
  <c r="R81" i="6"/>
  <c r="Q81" i="6"/>
  <c r="N81" i="6"/>
  <c r="I81" i="6"/>
  <c r="R55" i="6"/>
  <c r="N55" i="6"/>
  <c r="I55" i="6"/>
  <c r="R28" i="6"/>
  <c r="N28" i="6"/>
  <c r="I28" i="6"/>
  <c r="B1" i="6"/>
  <c r="S692" i="4"/>
  <c r="R692" i="4"/>
  <c r="H692" i="4"/>
  <c r="P667" i="4"/>
  <c r="O667" i="4"/>
  <c r="N667" i="4"/>
  <c r="M667" i="4"/>
  <c r="L667" i="4"/>
  <c r="K667" i="4"/>
  <c r="J667" i="4"/>
  <c r="P640" i="4"/>
  <c r="O640" i="4"/>
  <c r="N640" i="4"/>
  <c r="M640" i="4"/>
  <c r="L640" i="4"/>
  <c r="K640" i="4"/>
  <c r="J640" i="4"/>
  <c r="P613" i="4"/>
  <c r="O613" i="4"/>
  <c r="N613" i="4"/>
  <c r="M613" i="4"/>
  <c r="L613" i="4"/>
  <c r="K613" i="4"/>
  <c r="J613" i="4"/>
  <c r="P586" i="4"/>
  <c r="O586" i="4"/>
  <c r="N586" i="4"/>
  <c r="M586" i="4"/>
  <c r="L586" i="4"/>
  <c r="K586" i="4"/>
  <c r="J586" i="4"/>
  <c r="P559" i="4"/>
  <c r="O559" i="4"/>
  <c r="N559" i="4"/>
  <c r="M559" i="4"/>
  <c r="L559" i="4"/>
  <c r="K559" i="4"/>
  <c r="J559" i="4"/>
  <c r="P532" i="4"/>
  <c r="O532" i="4"/>
  <c r="N532" i="4"/>
  <c r="M532" i="4"/>
  <c r="L532" i="4"/>
  <c r="K532" i="4"/>
  <c r="J532" i="4"/>
  <c r="P505" i="4"/>
  <c r="O505" i="4"/>
  <c r="N505" i="4"/>
  <c r="M505" i="4"/>
  <c r="L505" i="4"/>
  <c r="K505" i="4"/>
  <c r="J505" i="4"/>
  <c r="P478" i="4"/>
  <c r="O478" i="4"/>
  <c r="N478" i="4"/>
  <c r="M478" i="4"/>
  <c r="L478" i="4"/>
  <c r="K478" i="4"/>
  <c r="J478" i="4"/>
  <c r="M449" i="4"/>
  <c r="L449" i="4"/>
  <c r="K449" i="4"/>
  <c r="J449" i="4"/>
  <c r="I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49" i="4" s="1"/>
  <c r="N429" i="4"/>
  <c r="M422" i="4"/>
  <c r="L422" i="4"/>
  <c r="K422" i="4"/>
  <c r="J422" i="4"/>
  <c r="I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22" i="4" s="1"/>
  <c r="M395" i="4"/>
  <c r="L395" i="4"/>
  <c r="K395" i="4"/>
  <c r="J395" i="4"/>
  <c r="I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95" i="4" s="1"/>
  <c r="W368" i="4"/>
  <c r="V368" i="4"/>
  <c r="M358" i="4"/>
  <c r="L358" i="4"/>
  <c r="K358" i="4"/>
  <c r="J358" i="4"/>
  <c r="I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58" i="4" s="1"/>
  <c r="M331" i="4"/>
  <c r="L331" i="4"/>
  <c r="K331" i="4"/>
  <c r="J331" i="4"/>
  <c r="I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31" i="4" s="1"/>
  <c r="M304" i="4"/>
  <c r="L304" i="4"/>
  <c r="K304" i="4"/>
  <c r="J304" i="4"/>
  <c r="I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304" i="4" s="1"/>
  <c r="N284" i="4"/>
  <c r="M277" i="4"/>
  <c r="L277" i="4"/>
  <c r="K277" i="4"/>
  <c r="J277" i="4"/>
  <c r="I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77" i="4" s="1"/>
  <c r="N257" i="4"/>
  <c r="M250" i="4"/>
  <c r="L250" i="4"/>
  <c r="K250" i="4"/>
  <c r="J250" i="4"/>
  <c r="I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50" i="4" s="1"/>
  <c r="M223" i="4"/>
  <c r="L223" i="4"/>
  <c r="K223" i="4"/>
  <c r="J223" i="4"/>
  <c r="I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23" i="4" s="1"/>
  <c r="M196" i="4"/>
  <c r="L196" i="4"/>
  <c r="K196" i="4"/>
  <c r="J196" i="4"/>
  <c r="I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96" i="4" s="1"/>
  <c r="N167" i="4"/>
  <c r="L167" i="4"/>
  <c r="K167" i="4"/>
  <c r="J167" i="4"/>
  <c r="I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67" i="4" s="1"/>
  <c r="N140" i="4"/>
  <c r="L140" i="4"/>
  <c r="K140" i="4"/>
  <c r="J140" i="4"/>
  <c r="I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40" i="4" s="1"/>
  <c r="O120" i="4"/>
  <c r="N113" i="4"/>
  <c r="L113" i="4"/>
  <c r="K113" i="4"/>
  <c r="J113" i="4"/>
  <c r="I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113" i="4" s="1"/>
  <c r="O93" i="4"/>
  <c r="N86" i="4"/>
  <c r="L86" i="4"/>
  <c r="K86" i="4"/>
  <c r="J86" i="4"/>
  <c r="I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86" i="4" s="1"/>
  <c r="N59" i="4"/>
  <c r="L59" i="4"/>
  <c r="K59" i="4"/>
  <c r="J59" i="4"/>
  <c r="I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59" i="4" s="1"/>
  <c r="N32" i="4"/>
  <c r="L32" i="4"/>
  <c r="K32" i="4"/>
  <c r="J32" i="4"/>
  <c r="I32" i="4"/>
  <c r="O31" i="4"/>
  <c r="O30" i="4"/>
  <c r="O29" i="4"/>
  <c r="O28" i="4"/>
  <c r="O27" i="4"/>
  <c r="O26" i="4"/>
  <c r="O25" i="4"/>
  <c r="O24" i="4"/>
  <c r="O23" i="4"/>
  <c r="O22" i="4"/>
  <c r="O21" i="4"/>
  <c r="O32" i="4" s="1"/>
  <c r="O20" i="4"/>
  <c r="O19" i="4"/>
  <c r="O18" i="4"/>
  <c r="O17" i="4"/>
  <c r="O16" i="4"/>
  <c r="O15" i="4"/>
  <c r="O14" i="4"/>
  <c r="O13" i="4"/>
  <c r="O12" i="4"/>
  <c r="B1" i="4"/>
  <c r="J168" i="3"/>
  <c r="I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J142" i="3"/>
  <c r="I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J115" i="3"/>
  <c r="I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J89" i="3"/>
  <c r="I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J63" i="3"/>
  <c r="I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L37" i="3"/>
  <c r="K37" i="3"/>
  <c r="J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" i="3"/>
  <c r="N96" i="2"/>
  <c r="M96" i="2"/>
  <c r="L96" i="2"/>
  <c r="K96" i="2"/>
  <c r="J96" i="2"/>
  <c r="H96" i="2"/>
  <c r="G96" i="2"/>
  <c r="F96" i="2"/>
  <c r="E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AI74" i="2"/>
  <c r="AE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G42" i="2"/>
  <c r="B9" i="2"/>
  <c r="B1" i="2"/>
  <c r="R525" i="1"/>
  <c r="Q525" i="1"/>
  <c r="O525" i="1"/>
  <c r="N525" i="1"/>
  <c r="M525" i="1"/>
  <c r="K525" i="1"/>
  <c r="J525" i="1"/>
  <c r="H525" i="1"/>
  <c r="G525" i="1"/>
  <c r="F525" i="1"/>
  <c r="B524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P452" i="1"/>
  <c r="O452" i="1"/>
  <c r="M452" i="1"/>
  <c r="L452" i="1"/>
  <c r="K452" i="1"/>
  <c r="J452" i="1"/>
  <c r="I452" i="1"/>
  <c r="G452" i="1"/>
  <c r="F452" i="1"/>
  <c r="E452" i="1"/>
  <c r="B451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R374" i="1"/>
  <c r="Q374" i="1"/>
  <c r="P374" i="1"/>
  <c r="O374" i="1"/>
  <c r="N374" i="1"/>
  <c r="M374" i="1"/>
  <c r="K374" i="1"/>
  <c r="J374" i="1"/>
  <c r="I374" i="1"/>
  <c r="H374" i="1"/>
  <c r="G374" i="1"/>
  <c r="F374" i="1"/>
  <c r="E374" i="1"/>
  <c r="B373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Q299" i="1"/>
  <c r="N299" i="1"/>
  <c r="K299" i="1"/>
  <c r="J299" i="1"/>
  <c r="I299" i="1"/>
  <c r="G299" i="1"/>
  <c r="F299" i="1"/>
  <c r="E299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P221" i="1"/>
  <c r="L221" i="1"/>
  <c r="B221" i="1"/>
  <c r="P132" i="1"/>
  <c r="L132" i="1"/>
  <c r="H132" i="1"/>
  <c r="B132" i="1"/>
  <c r="B173" i="1" s="1"/>
  <c r="P131" i="1"/>
  <c r="L131" i="1"/>
  <c r="H131" i="1"/>
  <c r="B131" i="1"/>
  <c r="B172" i="1" s="1"/>
  <c r="P130" i="1"/>
  <c r="L130" i="1"/>
  <c r="H130" i="1"/>
  <c r="B130" i="1"/>
  <c r="B171" i="1" s="1"/>
  <c r="P129" i="1"/>
  <c r="L129" i="1"/>
  <c r="H129" i="1"/>
  <c r="B129" i="1"/>
  <c r="B170" i="1" s="1"/>
  <c r="P128" i="1"/>
  <c r="L128" i="1"/>
  <c r="H128" i="1"/>
  <c r="B128" i="1"/>
  <c r="B201" i="1" s="1"/>
  <c r="P127" i="1"/>
  <c r="L127" i="1"/>
  <c r="H127" i="1"/>
  <c r="B127" i="1"/>
  <c r="B200" i="1" s="1"/>
  <c r="P126" i="1"/>
  <c r="L126" i="1"/>
  <c r="H126" i="1"/>
  <c r="B126" i="1"/>
  <c r="B199" i="1" s="1"/>
  <c r="P125" i="1"/>
  <c r="L125" i="1"/>
  <c r="H125" i="1"/>
  <c r="B125" i="1"/>
  <c r="B198" i="1" s="1"/>
  <c r="P124" i="1"/>
  <c r="L124" i="1"/>
  <c r="H124" i="1"/>
  <c r="B124" i="1"/>
  <c r="B197" i="1" s="1"/>
  <c r="P123" i="1"/>
  <c r="L123" i="1"/>
  <c r="H123" i="1"/>
  <c r="B123" i="1"/>
  <c r="B277" i="1" s="1"/>
  <c r="P122" i="1"/>
  <c r="L122" i="1"/>
  <c r="H122" i="1"/>
  <c r="B122" i="1"/>
  <c r="P121" i="1"/>
  <c r="L121" i="1"/>
  <c r="H121" i="1"/>
  <c r="B121" i="1"/>
  <c r="P120" i="1"/>
  <c r="L120" i="1"/>
  <c r="H120" i="1"/>
  <c r="B120" i="1"/>
  <c r="P119" i="1"/>
  <c r="L119" i="1"/>
  <c r="H119" i="1"/>
  <c r="B119" i="1"/>
  <c r="P118" i="1"/>
  <c r="L118" i="1"/>
  <c r="H118" i="1"/>
  <c r="B118" i="1"/>
  <c r="B256" i="1" s="1"/>
  <c r="P117" i="1"/>
  <c r="L117" i="1"/>
  <c r="H117" i="1"/>
  <c r="B117" i="1"/>
  <c r="B255" i="1" s="1"/>
  <c r="P116" i="1"/>
  <c r="L116" i="1"/>
  <c r="H116" i="1"/>
  <c r="B116" i="1"/>
  <c r="B254" i="1" s="1"/>
  <c r="P115" i="1"/>
  <c r="L115" i="1"/>
  <c r="H115" i="1"/>
  <c r="B115" i="1"/>
  <c r="B253" i="1" s="1"/>
  <c r="P114" i="1"/>
  <c r="L114" i="1"/>
  <c r="H114" i="1"/>
  <c r="B114" i="1"/>
  <c r="B252" i="1" s="1"/>
  <c r="S108" i="1"/>
  <c r="I108" i="1"/>
  <c r="S85" i="1"/>
  <c r="N85" i="1"/>
  <c r="I85" i="1"/>
  <c r="S84" i="1"/>
  <c r="N84" i="1"/>
  <c r="I84" i="1"/>
  <c r="S83" i="1"/>
  <c r="N83" i="1"/>
  <c r="S23" i="1"/>
  <c r="N23" i="1"/>
  <c r="I23" i="1"/>
  <c r="S22" i="1"/>
  <c r="N22" i="1"/>
  <c r="I22" i="1"/>
  <c r="S21" i="1"/>
  <c r="N21" i="1"/>
  <c r="I21" i="1"/>
  <c r="S20" i="1"/>
  <c r="N20" i="1"/>
  <c r="I20" i="1"/>
  <c r="S19" i="1"/>
  <c r="N19" i="1"/>
  <c r="I19" i="1"/>
  <c r="S18" i="1"/>
  <c r="N18" i="1"/>
  <c r="I18" i="1"/>
  <c r="S17" i="1"/>
  <c r="N17" i="1"/>
  <c r="I17" i="1"/>
  <c r="S16" i="1"/>
  <c r="N16" i="1"/>
  <c r="I16" i="1"/>
  <c r="S15" i="1"/>
  <c r="N15" i="1"/>
  <c r="I15" i="1"/>
  <c r="S14" i="1"/>
  <c r="N14" i="1"/>
  <c r="I14" i="1"/>
  <c r="S13" i="1"/>
  <c r="N13" i="1"/>
  <c r="I13" i="1"/>
  <c r="S12" i="1"/>
  <c r="N12" i="1"/>
  <c r="I12" i="1"/>
  <c r="S11" i="1"/>
  <c r="N11" i="1"/>
  <c r="I11" i="1"/>
  <c r="S10" i="1"/>
  <c r="N10" i="1"/>
  <c r="I10" i="1"/>
  <c r="S9" i="1"/>
  <c r="N9" i="1"/>
  <c r="I9" i="1"/>
  <c r="S8" i="1"/>
  <c r="N8" i="1"/>
  <c r="I8" i="1"/>
  <c r="U265" i="5"/>
  <c r="P265" i="5"/>
  <c r="K265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Q185" i="5"/>
  <c r="N185" i="5"/>
  <c r="K185" i="5"/>
  <c r="H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P158" i="5"/>
  <c r="N158" i="5"/>
  <c r="M158" i="5"/>
  <c r="J158" i="5"/>
  <c r="I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Y108" i="5"/>
  <c r="V108" i="5"/>
  <c r="U108" i="5"/>
  <c r="R108" i="5"/>
  <c r="Q108" i="5"/>
  <c r="M108" i="5"/>
  <c r="L108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M56" i="5"/>
  <c r="L56" i="5"/>
  <c r="G56" i="5"/>
  <c r="F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P30" i="5"/>
  <c r="J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1" i="5"/>
  <c r="B493" i="1" l="1"/>
  <c r="B494" i="1"/>
  <c r="B501" i="1"/>
  <c r="B500" i="1"/>
  <c r="B502" i="1"/>
  <c r="B495" i="1"/>
  <c r="B519" i="1"/>
  <c r="B520" i="1"/>
  <c r="B521" i="1"/>
  <c r="B522" i="1"/>
  <c r="B523" i="1"/>
  <c r="B442" i="1"/>
  <c r="B415" i="1"/>
  <c r="B416" i="1"/>
  <c r="B417" i="1"/>
  <c r="B443" i="1"/>
  <c r="B444" i="1"/>
  <c r="B434" i="1"/>
  <c r="B435" i="1"/>
  <c r="B447" i="1"/>
  <c r="B436" i="1"/>
  <c r="B448" i="1"/>
  <c r="B340" i="1"/>
  <c r="B449" i="1"/>
  <c r="B341" i="1"/>
  <c r="B450" i="1"/>
  <c r="B359" i="1"/>
  <c r="B361" i="1"/>
  <c r="B365" i="1"/>
  <c r="B342" i="1"/>
  <c r="B366" i="1"/>
  <c r="B367" i="1"/>
  <c r="B369" i="1"/>
  <c r="B370" i="1"/>
  <c r="B371" i="1"/>
  <c r="B360" i="1"/>
  <c r="B372" i="1"/>
  <c r="B286" i="1"/>
  <c r="B281" i="1"/>
  <c r="B287" i="1"/>
  <c r="B288" i="1"/>
  <c r="B289" i="1"/>
  <c r="B292" i="1"/>
  <c r="B290" i="1"/>
  <c r="B291" i="1"/>
  <c r="B274" i="1"/>
  <c r="B275" i="1"/>
  <c r="B278" i="1"/>
  <c r="B284" i="1"/>
  <c r="B279" i="1"/>
  <c r="B280" i="1"/>
  <c r="B282" i="1"/>
  <c r="B283" i="1"/>
  <c r="B273" i="1"/>
  <c r="B285" i="1"/>
  <c r="B164" i="1"/>
  <c r="B166" i="1"/>
  <c r="B169" i="1"/>
  <c r="B168" i="1"/>
  <c r="S34" i="12"/>
  <c r="S35" i="12"/>
  <c r="S36" i="12"/>
  <c r="S37" i="12"/>
  <c r="S38" i="12" l="1"/>
  <c r="S39" i="12" l="1"/>
  <c r="S40" i="12" s="1"/>
  <c r="S41" i="12" l="1"/>
  <c r="S42" i="12" s="1"/>
  <c r="S43" i="12" s="1"/>
</calcChain>
</file>

<file path=xl/sharedStrings.xml><?xml version="1.0" encoding="utf-8"?>
<sst xmlns="http://schemas.openxmlformats.org/spreadsheetml/2006/main" count="2114" uniqueCount="420">
  <si>
    <r>
      <rPr>
        <sz val="10"/>
        <color theme="1"/>
        <rFont val="Calibri"/>
        <family val="2"/>
        <charset val="1"/>
      </rPr>
      <t xml:space="preserve">Prj </t>
    </r>
    <r>
      <rPr>
        <sz val="10"/>
        <color rgb="FFFF0000"/>
        <rFont val="Calibri"/>
        <family val="2"/>
        <charset val="1"/>
      </rPr>
      <t>Estande de Tiro (50 m)</t>
    </r>
    <r>
      <rPr>
        <sz val="10"/>
        <color theme="1"/>
        <rFont val="Calibri"/>
        <family val="2"/>
        <charset val="1"/>
      </rPr>
      <t xml:space="preserve"> – </t>
    </r>
    <r>
      <rPr>
        <sz val="10"/>
        <color rgb="FFFF0000"/>
        <rFont val="Calibri"/>
        <family val="2"/>
        <charset val="1"/>
      </rPr>
      <t>5º BIL</t>
    </r>
    <r>
      <rPr>
        <sz val="10"/>
        <color theme="1"/>
        <rFont val="Calibri"/>
        <family val="2"/>
        <charset val="1"/>
      </rPr>
      <t xml:space="preserve"> (Amv)</t>
    </r>
  </si>
  <si>
    <t>LEVANTAMENTO DE CAMPO</t>
  </si>
  <si>
    <t>Dimensões</t>
  </si>
  <si>
    <t>Vãos</t>
  </si>
  <si>
    <t>Alvenarias Adicionais</t>
  </si>
  <si>
    <t>Ambiente</t>
  </si>
  <si>
    <t>C</t>
  </si>
  <si>
    <t>L</t>
  </si>
  <si>
    <t>h</t>
  </si>
  <si>
    <t>e</t>
  </si>
  <si>
    <t>A</t>
  </si>
  <si>
    <t>Tipo</t>
  </si>
  <si>
    <t>V</t>
  </si>
  <si>
    <t>[m]</t>
  </si>
  <si>
    <t>[m²]</t>
  </si>
  <si>
    <t>[m³]</t>
  </si>
  <si>
    <t>Pilar</t>
  </si>
  <si>
    <t>Viga</t>
  </si>
  <si>
    <t>Laje</t>
  </si>
  <si>
    <t>Quadros</t>
  </si>
  <si>
    <t>Conduletes</t>
  </si>
  <si>
    <t>Tomadas</t>
  </si>
  <si>
    <t>Interruptor</t>
  </si>
  <si>
    <t>Luminárias</t>
  </si>
  <si>
    <t>Dutos</t>
  </si>
  <si>
    <t>Cabos</t>
  </si>
  <si>
    <t>Acessórios</t>
  </si>
  <si>
    <t>Equipamentos</t>
  </si>
  <si>
    <t>[Un]</t>
  </si>
  <si>
    <t>Total</t>
  </si>
  <si>
    <t>Água Fria/Quente/Reúso</t>
  </si>
  <si>
    <t>Água Pluvial</t>
  </si>
  <si>
    <t>Esgoto</t>
  </si>
  <si>
    <t>Cavalete</t>
  </si>
  <si>
    <t>Reservatório</t>
  </si>
  <si>
    <t>Registros</t>
  </si>
  <si>
    <t>Válvulas</t>
  </si>
  <si>
    <t>Torneiras</t>
  </si>
  <si>
    <t>Calhas</t>
  </si>
  <si>
    <t>Caixas</t>
  </si>
  <si>
    <t>Drenos</t>
  </si>
  <si>
    <t>[L]</t>
  </si>
  <si>
    <t>Rede</t>
  </si>
  <si>
    <t>SPDA</t>
  </si>
  <si>
    <t>Condulete</t>
  </si>
  <si>
    <t>Captação</t>
  </si>
  <si>
    <t>Aterra/o</t>
  </si>
  <si>
    <t>Contra incêndio</t>
  </si>
  <si>
    <t>Instalações Pressurizadas</t>
  </si>
  <si>
    <t>Hidrantes</t>
  </si>
  <si>
    <t>Regulador</t>
  </si>
  <si>
    <t>Telhados</t>
  </si>
  <si>
    <t>Estrutura</t>
  </si>
  <si>
    <t>Telhamento</t>
  </si>
  <si>
    <r>
      <rPr>
        <sz val="10"/>
        <color theme="1"/>
        <rFont val="Calibri"/>
        <family val="2"/>
        <charset val="1"/>
      </rPr>
      <t>[m</t>
    </r>
    <r>
      <rPr>
        <vertAlign val="superscript"/>
        <sz val="8"/>
        <color theme="1"/>
        <rFont val="Calibri"/>
        <family val="2"/>
        <charset val="1"/>
      </rPr>
      <t>2</t>
    </r>
    <r>
      <rPr>
        <sz val="8"/>
        <color theme="1"/>
        <rFont val="Calibri"/>
        <family val="2"/>
        <charset val="1"/>
      </rPr>
      <t>]</t>
    </r>
  </si>
  <si>
    <t>1.</t>
  </si>
  <si>
    <t>SERVIÇOS PRELIMINARES</t>
  </si>
  <si>
    <t>1.1</t>
  </si>
  <si>
    <t>Limpeza Inicial</t>
  </si>
  <si>
    <t>Limpeza</t>
  </si>
  <si>
    <r>
      <rPr>
        <b/>
        <sz val="10"/>
        <color theme="1"/>
        <rFont val="Calibri"/>
        <family val="2"/>
        <charset val="1"/>
      </rPr>
      <t xml:space="preserve">A </t>
    </r>
    <r>
      <rPr>
        <sz val="10"/>
        <color theme="1"/>
        <rFont val="Calibri"/>
        <family val="2"/>
        <charset val="1"/>
      </rPr>
      <t>[m²]</t>
    </r>
  </si>
  <si>
    <t>1.2</t>
  </si>
  <si>
    <t>Implantação de Canteiro de Obra</t>
  </si>
  <si>
    <t>1.3</t>
  </si>
  <si>
    <t>Alocação de Contêineres</t>
  </si>
  <si>
    <t>1.4</t>
  </si>
  <si>
    <t>Alocação de Banheiros Químicos</t>
  </si>
  <si>
    <t>1.5</t>
  </si>
  <si>
    <t>Alocação de Andaimes</t>
  </si>
  <si>
    <t>1.6</t>
  </si>
  <si>
    <t>Interdições no Local da Obra e Adjacências</t>
  </si>
  <si>
    <t>Fase</t>
  </si>
  <si>
    <t>Local</t>
  </si>
  <si>
    <t>1.7</t>
  </si>
  <si>
    <t>Remoções</t>
  </si>
  <si>
    <t>Recolocações</t>
  </si>
  <si>
    <t>Elétrica/SPDA/Rede</t>
  </si>
  <si>
    <t>Água Fria/Água Pluvial/Esgoto/Pressurizadas/Contra Incêndio</t>
  </si>
  <si>
    <t>Esquadrias</t>
  </si>
  <si>
    <t>Equipamentos/Acessórios</t>
  </si>
  <si>
    <t>Luminária</t>
  </si>
  <si>
    <t>Postes</t>
  </si>
  <si>
    <t>Reservat</t>
  </si>
  <si>
    <t>Portas</t>
  </si>
  <si>
    <t>Janelas</t>
  </si>
  <si>
    <t>Telha</t>
  </si>
  <si>
    <t>Trama</t>
  </si>
  <si>
    <t>Tesoura</t>
  </si>
  <si>
    <t>Item</t>
  </si>
  <si>
    <t>Qtd</t>
  </si>
  <si>
    <t>1.8</t>
  </si>
  <si>
    <t>Demolições</t>
  </si>
  <si>
    <t>Piso</t>
  </si>
  <si>
    <t>Rodapé</t>
  </si>
  <si>
    <t>Azulejo</t>
  </si>
  <si>
    <t>Forro</t>
  </si>
  <si>
    <t>Alvenaria</t>
  </si>
  <si>
    <t>Fundação</t>
  </si>
  <si>
    <t>1.9</t>
  </si>
  <si>
    <t>Retiradas e Descarte de Resíduos</t>
  </si>
  <si>
    <t>Resíduo</t>
  </si>
  <si>
    <t>Comum</t>
  </si>
  <si>
    <t>Contaminado</t>
  </si>
  <si>
    <t>1.10</t>
  </si>
  <si>
    <t>Destinação de Resíduos</t>
  </si>
  <si>
    <t>1.11</t>
  </si>
  <si>
    <t>Carga, Manobra e Descarga</t>
  </si>
  <si>
    <t>1.12</t>
  </si>
  <si>
    <t>CTR</t>
  </si>
  <si>
    <t>2.</t>
  </si>
  <si>
    <t>MOVIMENTO de SOLOS</t>
  </si>
  <si>
    <t>2.1</t>
  </si>
  <si>
    <t>Terraplanagem</t>
  </si>
  <si>
    <t>2.2</t>
  </si>
  <si>
    <t>Escavações</t>
  </si>
  <si>
    <t>i</t>
  </si>
  <si>
    <t>Lastro</t>
  </si>
  <si>
    <t>[%]</t>
  </si>
  <si>
    <t>2.3</t>
  </si>
  <si>
    <t>Aterros e Reaterros</t>
  </si>
  <si>
    <t>2.4</t>
  </si>
  <si>
    <t>Enrocamentos</t>
  </si>
  <si>
    <t>2.5</t>
  </si>
  <si>
    <t>Contenções</t>
  </si>
  <si>
    <t>2.6</t>
  </si>
  <si>
    <t>Taludamentos</t>
  </si>
  <si>
    <t>2.7</t>
  </si>
  <si>
    <t>Nivelamentos e Compactações do Terreno</t>
  </si>
  <si>
    <t>2.8</t>
  </si>
  <si>
    <t>Empréstimo de Solo</t>
  </si>
  <si>
    <t>2.9</t>
  </si>
  <si>
    <t>Disposição de Solo</t>
  </si>
  <si>
    <t>2.10</t>
  </si>
  <si>
    <t>2.11</t>
  </si>
  <si>
    <t>3.</t>
  </si>
  <si>
    <t>ESTRUTURAS</t>
  </si>
  <si>
    <t>3.1</t>
  </si>
  <si>
    <t>Fundações</t>
  </si>
  <si>
    <t>3.1.1</t>
  </si>
  <si>
    <t>Sistema Viga Baldrame</t>
  </si>
  <si>
    <t>Peça</t>
  </si>
  <si>
    <t>Seção</t>
  </si>
  <si>
    <t>Concreto</t>
  </si>
  <si>
    <t>Ferragem</t>
  </si>
  <si>
    <t>Estribo</t>
  </si>
  <si>
    <t>Forma em Madeira</t>
  </si>
  <si>
    <t>[KgF]</t>
  </si>
  <si>
    <t>3.1.2</t>
  </si>
  <si>
    <t>Estacas e Blocos de Coroamento</t>
  </si>
  <si>
    <t>Valores por Peça</t>
  </si>
  <si>
    <t>Valores Totais</t>
  </si>
  <si>
    <r>
      <rPr>
        <b/>
        <sz val="10"/>
        <color theme="1"/>
        <rFont val="Calibri"/>
        <family val="2"/>
        <charset val="1"/>
      </rPr>
      <t xml:space="preserve">A </t>
    </r>
    <r>
      <rPr>
        <b/>
        <vertAlign val="subscript"/>
        <sz val="8"/>
        <color theme="1"/>
        <rFont val="Calibri"/>
        <family val="2"/>
        <charset val="1"/>
      </rPr>
      <t>Tot</t>
    </r>
  </si>
  <si>
    <t>3.1.3</t>
  </si>
  <si>
    <t>Estacas</t>
  </si>
  <si>
    <t>3.1.4</t>
  </si>
  <si>
    <t>Sapatas Isoladas</t>
  </si>
  <si>
    <t>3.1.5</t>
  </si>
  <si>
    <t>Radier</t>
  </si>
  <si>
    <t>3.1.6</t>
  </si>
  <si>
    <t>Sistema Sapata Corrida</t>
  </si>
  <si>
    <t>3.2</t>
  </si>
  <si>
    <t>Superestrutura em Concreto</t>
  </si>
  <si>
    <t>3.2.1</t>
  </si>
  <si>
    <t>Pilares</t>
  </si>
  <si>
    <t>Janela Lança/o</t>
  </si>
  <si>
    <t>3.2.2</t>
  </si>
  <si>
    <t>Vigas</t>
  </si>
  <si>
    <t>3.2.3</t>
  </si>
  <si>
    <t>Lajes</t>
  </si>
  <si>
    <t>3.2.4</t>
  </si>
  <si>
    <t>Paredes de Contenção</t>
  </si>
  <si>
    <t>3.2.5</t>
  </si>
  <si>
    <t>Bloco Estrutural</t>
  </si>
  <si>
    <t>3.2.6</t>
  </si>
  <si>
    <t>Placa</t>
  </si>
  <si>
    <t>3.2.7</t>
  </si>
  <si>
    <t>Passarelas</t>
  </si>
  <si>
    <t>3.2.8</t>
  </si>
  <si>
    <t>Escadas</t>
  </si>
  <si>
    <r>
      <rPr>
        <b/>
        <sz val="10"/>
        <color rgb="FF000000"/>
        <rFont val="Calibri"/>
        <family val="2"/>
        <charset val="1"/>
      </rPr>
      <t xml:space="preserve">C </t>
    </r>
    <r>
      <rPr>
        <sz val="10"/>
        <color rgb="FF000000"/>
        <rFont val="Calibri"/>
        <family val="2"/>
        <charset val="1"/>
      </rPr>
      <t>[m]</t>
    </r>
  </si>
  <si>
    <r>
      <rPr>
        <b/>
        <sz val="10"/>
        <color rgb="FF000000"/>
        <rFont val="Calibri"/>
        <family val="2"/>
        <charset val="1"/>
      </rPr>
      <t xml:space="preserve">L </t>
    </r>
    <r>
      <rPr>
        <sz val="10"/>
        <color rgb="FF000000"/>
        <rFont val="Calibri"/>
        <family val="2"/>
        <charset val="1"/>
      </rPr>
      <t>[m]</t>
    </r>
  </si>
  <si>
    <r>
      <rPr>
        <b/>
        <sz val="10"/>
        <color rgb="FF000000"/>
        <rFont val="Calibri"/>
        <family val="2"/>
        <charset val="1"/>
      </rPr>
      <t xml:space="preserve">h </t>
    </r>
    <r>
      <rPr>
        <sz val="10"/>
        <color rgb="FF000000"/>
        <rFont val="Calibri"/>
        <family val="2"/>
        <charset val="1"/>
      </rPr>
      <t>[m]</t>
    </r>
  </si>
  <si>
    <r>
      <rPr>
        <b/>
        <sz val="10"/>
        <color rgb="FF000000"/>
        <rFont val="Calibri"/>
        <family val="2"/>
        <charset val="1"/>
      </rPr>
      <t xml:space="preserve">e </t>
    </r>
    <r>
      <rPr>
        <sz val="10"/>
        <color rgb="FF000000"/>
        <rFont val="Calibri"/>
        <family val="2"/>
        <charset val="1"/>
      </rPr>
      <t>[m]</t>
    </r>
  </si>
  <si>
    <t>Pisada</t>
  </si>
  <si>
    <t>Espelho</t>
  </si>
  <si>
    <t>Parede de Contenção</t>
  </si>
  <si>
    <t>Guia Balizamento</t>
  </si>
  <si>
    <t>Armação</t>
  </si>
  <si>
    <t>Bocel</t>
  </si>
  <si>
    <r>
      <rPr>
        <b/>
        <sz val="10"/>
        <color rgb="FF000000"/>
        <rFont val="Calibri"/>
        <family val="2"/>
        <charset val="1"/>
      </rPr>
      <t xml:space="preserve">h </t>
    </r>
    <r>
      <rPr>
        <sz val="8"/>
        <color rgb="FF000000"/>
        <rFont val="Calibri"/>
        <family val="2"/>
        <charset val="1"/>
      </rPr>
      <t>[m]</t>
    </r>
  </si>
  <si>
    <t xml:space="preserve"> [m]</t>
  </si>
  <si>
    <t>3.2.9</t>
  </si>
  <si>
    <t>Pórticos</t>
  </si>
  <si>
    <t>3.2.10</t>
  </si>
  <si>
    <t>Bermas</t>
  </si>
  <si>
    <t>3.2.11</t>
  </si>
  <si>
    <t>Recuperação de Estruturas em Concreto</t>
  </si>
  <si>
    <t>3.3</t>
  </si>
  <si>
    <t>Estruturas Metálicas</t>
  </si>
  <si>
    <t>3.3.1</t>
  </si>
  <si>
    <t>Perfil</t>
  </si>
  <si>
    <t>Peso</t>
  </si>
  <si>
    <t>Elastômero</t>
  </si>
  <si>
    <t>Equipamento de apoio</t>
  </si>
  <si>
    <t>3.3.2</t>
  </si>
  <si>
    <t>3.3.3</t>
  </si>
  <si>
    <t>3.3.4</t>
  </si>
  <si>
    <t>3.3.5</t>
  </si>
  <si>
    <t>3.3.6</t>
  </si>
  <si>
    <t>3.3.7</t>
  </si>
  <si>
    <t>Para-Balas</t>
  </si>
  <si>
    <t>3.3.8</t>
  </si>
  <si>
    <t>Recuperação de Estruturas Metálicas</t>
  </si>
  <si>
    <t>3.4</t>
  </si>
  <si>
    <t>Estruturas em Madeira</t>
  </si>
  <si>
    <r>
      <rPr>
        <b/>
        <sz val="10"/>
        <color theme="1"/>
        <rFont val="Calibri"/>
        <family val="2"/>
        <charset val="1"/>
      </rPr>
      <t xml:space="preserve">C </t>
    </r>
    <r>
      <rPr>
        <b/>
        <vertAlign val="subscript"/>
        <sz val="8"/>
        <color theme="1"/>
        <rFont val="Calibri"/>
        <family val="2"/>
        <charset val="1"/>
      </rPr>
      <t>tot</t>
    </r>
  </si>
  <si>
    <t>Base</t>
  </si>
  <si>
    <t>h /L</t>
  </si>
  <si>
    <t>proj</t>
  </si>
  <si>
    <t>real</t>
  </si>
  <si>
    <t>[cm]</t>
  </si>
  <si>
    <t>4.</t>
  </si>
  <si>
    <t>ALVENARIAS</t>
  </si>
  <si>
    <t>4.1</t>
  </si>
  <si>
    <t>Painéis</t>
  </si>
  <si>
    <t>Painéis em Alvenaria</t>
  </si>
  <si>
    <t>Painéis em Gesso Acartonado</t>
  </si>
  <si>
    <t>Painéis Cobogó ou em Blocos de Vidro</t>
  </si>
  <si>
    <t>4.2</t>
  </si>
  <si>
    <t>Vergas e Contra Vergas</t>
  </si>
  <si>
    <t>Engasta/o</t>
  </si>
  <si>
    <t>Verga</t>
  </si>
  <si>
    <t>C Verga</t>
  </si>
  <si>
    <t>4.3</t>
  </si>
  <si>
    <t>Guias, Calçadas e Passeios</t>
  </si>
  <si>
    <t>Guias</t>
  </si>
  <si>
    <t>Calçadas e passeios</t>
  </si>
  <si>
    <t>4.4</t>
  </si>
  <si>
    <t>Rampas, Patamares e Passarelas</t>
  </si>
  <si>
    <t>C Proj</t>
  </si>
  <si>
    <t>C Real</t>
  </si>
  <si>
    <t>4.5</t>
  </si>
  <si>
    <t>Pavimentos</t>
  </si>
  <si>
    <t>4.6</t>
  </si>
  <si>
    <t>Cercamentos</t>
  </si>
  <si>
    <t>Material de Fechamento</t>
  </si>
  <si>
    <t>Mourões</t>
  </si>
  <si>
    <t>Esticador</t>
  </si>
  <si>
    <t>Concertina</t>
  </si>
  <si>
    <r>
      <rPr>
        <b/>
        <sz val="10"/>
        <color theme="1"/>
        <rFont val="Calibri"/>
        <family val="2"/>
        <charset val="1"/>
      </rPr>
      <t xml:space="preserve">h </t>
    </r>
    <r>
      <rPr>
        <sz val="8"/>
        <color theme="1"/>
        <rFont val="Calibri"/>
        <family val="2"/>
        <charset val="1"/>
      </rPr>
      <t>[m]</t>
    </r>
  </si>
  <si>
    <t>4.7</t>
  </si>
  <si>
    <t>Regularização de Superfícies Verticais</t>
  </si>
  <si>
    <t>Apicoamento</t>
  </si>
  <si>
    <t>Chapisco</t>
  </si>
  <si>
    <t>Emboço para Pintura</t>
  </si>
  <si>
    <t>Emboço para Revestimento</t>
  </si>
  <si>
    <t>4.8</t>
  </si>
  <si>
    <t>Regularização de Superfícies Horizontais</t>
  </si>
  <si>
    <t>Lastros</t>
  </si>
  <si>
    <t>Contrapisos</t>
  </si>
  <si>
    <t>Juntas de Dilatação</t>
  </si>
  <si>
    <t>4.9</t>
  </si>
  <si>
    <t>4.10</t>
  </si>
  <si>
    <t>Impermeabilização</t>
  </si>
  <si>
    <t>Estruturas</t>
  </si>
  <si>
    <t>Pisos</t>
  </si>
  <si>
    <t>Paredes</t>
  </si>
  <si>
    <r>
      <rPr>
        <b/>
        <sz val="10"/>
        <color theme="1"/>
        <rFont val="Calibri"/>
        <family val="2"/>
        <charset val="1"/>
      </rPr>
      <t>A</t>
    </r>
    <r>
      <rPr>
        <b/>
        <vertAlign val="subscript"/>
        <sz val="8"/>
        <color theme="1"/>
        <rFont val="Calibri"/>
        <family val="2"/>
        <charset val="1"/>
      </rPr>
      <t>Tot</t>
    </r>
  </si>
  <si>
    <t>Per</t>
  </si>
  <si>
    <t>Soleiras</t>
  </si>
  <si>
    <t>Rodapés</t>
  </si>
  <si>
    <t>Placa Cerâmica</t>
  </si>
  <si>
    <t>Azulejos e Rodabancas</t>
  </si>
  <si>
    <t>Peitoris</t>
  </si>
  <si>
    <t>Forros</t>
  </si>
  <si>
    <r>
      <rPr>
        <b/>
        <sz val="10"/>
        <color theme="1"/>
        <rFont val="Calibri"/>
        <family val="2"/>
        <charset val="1"/>
      </rPr>
      <t>C</t>
    </r>
    <r>
      <rPr>
        <b/>
        <vertAlign val="subscript"/>
        <sz val="8"/>
        <color theme="1"/>
        <rFont val="Calibri"/>
        <family val="2"/>
        <charset val="1"/>
      </rPr>
      <t>Tot</t>
    </r>
  </si>
  <si>
    <t>Emassamento</t>
  </si>
  <si>
    <t>Lixamento</t>
  </si>
  <si>
    <t>Selamento</t>
  </si>
  <si>
    <t>Pintura Acrílica</t>
  </si>
  <si>
    <t>Pintura Esmalte</t>
  </si>
  <si>
    <r>
      <rPr>
        <b/>
        <sz val="10"/>
        <color theme="1"/>
        <rFont val="Calibri"/>
        <family val="2"/>
        <charset val="1"/>
      </rPr>
      <t>A</t>
    </r>
    <r>
      <rPr>
        <sz val="8"/>
        <color theme="1"/>
        <rFont val="Calibri"/>
        <family val="2"/>
        <charset val="1"/>
      </rPr>
      <t xml:space="preserve"> [m²]</t>
    </r>
  </si>
  <si>
    <t>Parede</t>
  </si>
  <si>
    <t>Teto</t>
  </si>
  <si>
    <t>Grades</t>
  </si>
  <si>
    <t>Portas e Alçapões</t>
  </si>
  <si>
    <t>Janelas e Visores</t>
  </si>
  <si>
    <t>Telas</t>
  </si>
  <si>
    <t>Vidros</t>
  </si>
  <si>
    <t>Venezianas Industriais</t>
  </si>
  <si>
    <t>Protetores de Canto</t>
  </si>
  <si>
    <t>Protetores de Parede</t>
  </si>
  <si>
    <t>P/A</t>
  </si>
  <si>
    <t>J/V</t>
  </si>
  <si>
    <r>
      <rPr>
        <b/>
        <sz val="10"/>
        <color theme="1"/>
        <rFont val="Calibri"/>
        <family val="2"/>
        <charset val="1"/>
      </rPr>
      <t xml:space="preserve">A </t>
    </r>
    <r>
      <rPr>
        <sz val="10"/>
        <color theme="1"/>
        <rFont val="Calibri"/>
        <family val="2"/>
        <charset val="1"/>
      </rPr>
      <t>[m</t>
    </r>
    <r>
      <rPr>
        <vertAlign val="superscript"/>
        <sz val="10"/>
        <color theme="1"/>
        <rFont val="Calibri"/>
        <family val="2"/>
        <charset val="1"/>
      </rPr>
      <t>2</t>
    </r>
    <r>
      <rPr>
        <sz val="10"/>
        <color theme="1"/>
        <rFont val="Calibri"/>
        <family val="2"/>
        <charset val="1"/>
      </rPr>
      <t>]</t>
    </r>
  </si>
  <si>
    <t>Malha</t>
  </si>
  <si>
    <r>
      <rPr>
        <b/>
        <sz val="10"/>
        <color theme="1"/>
        <rFont val="Calibri"/>
        <family val="2"/>
        <charset val="1"/>
      </rPr>
      <t xml:space="preserve">Afastamento </t>
    </r>
    <r>
      <rPr>
        <sz val="10"/>
        <color theme="1"/>
        <rFont val="Calibri"/>
        <family val="2"/>
        <charset val="1"/>
      </rPr>
      <t>[cm]</t>
    </r>
  </si>
  <si>
    <r>
      <rPr>
        <sz val="10"/>
        <color theme="1"/>
        <rFont val="Calibri"/>
        <family val="2"/>
        <charset val="1"/>
      </rPr>
      <t>[mm]</t>
    </r>
    <r>
      <rPr>
        <b/>
        <sz val="8"/>
        <color theme="1"/>
        <rFont val="Calibri"/>
        <family val="2"/>
        <charset val="1"/>
      </rPr>
      <t xml:space="preserve"> </t>
    </r>
  </si>
  <si>
    <t>[mm]</t>
  </si>
  <si>
    <t>Janela</t>
  </si>
  <si>
    <t>Barras de Apoio</t>
  </si>
  <si>
    <t>Corrimãos e Guarda-Corpos</t>
  </si>
  <si>
    <t>Bacias Sanitárias</t>
  </si>
  <si>
    <t>Mictórios</t>
  </si>
  <si>
    <t>Lavatórios</t>
  </si>
  <si>
    <t>Cubas</t>
  </si>
  <si>
    <t>Tanques</t>
  </si>
  <si>
    <t>ø</t>
  </si>
  <si>
    <r>
      <rPr>
        <b/>
        <sz val="10"/>
        <color theme="1"/>
        <rFont val="Calibri"/>
        <family val="2"/>
        <charset val="1"/>
      </rPr>
      <t xml:space="preserve">h </t>
    </r>
    <r>
      <rPr>
        <b/>
        <vertAlign val="subscript"/>
        <sz val="8"/>
        <color theme="1"/>
        <rFont val="Calibri"/>
        <family val="2"/>
        <charset val="1"/>
      </rPr>
      <t>Piso</t>
    </r>
  </si>
  <si>
    <t>Bancadas e Pias</t>
  </si>
  <si>
    <t>Divisórias</t>
  </si>
  <si>
    <t>Boxes</t>
  </si>
  <si>
    <t xml:space="preserve">Tampo </t>
  </si>
  <si>
    <t>Frontão</t>
  </si>
  <si>
    <t>Saia</t>
  </si>
  <si>
    <t>Sobreposição</t>
  </si>
  <si>
    <t>Mobiliário</t>
  </si>
  <si>
    <r>
      <rPr>
        <b/>
        <sz val="10"/>
        <color theme="1"/>
        <rFont val="Calibri"/>
        <family val="2"/>
        <charset val="1"/>
      </rPr>
      <t xml:space="preserve">Dimensões </t>
    </r>
    <r>
      <rPr>
        <sz val="8"/>
        <color theme="1"/>
        <rFont val="Calibri"/>
        <family val="2"/>
        <charset val="1"/>
      </rPr>
      <t>[m]</t>
    </r>
  </si>
  <si>
    <t>CIRCUITOS AÉREOS</t>
  </si>
  <si>
    <t>Cabeamentos</t>
  </si>
  <si>
    <t>Cruzetas</t>
  </si>
  <si>
    <t>Suportes</t>
  </si>
  <si>
    <t>Isoladores</t>
  </si>
  <si>
    <t>Circuito</t>
  </si>
  <si>
    <t>Qtd Cabos</t>
  </si>
  <si>
    <r>
      <rPr>
        <b/>
        <sz val="10"/>
        <color theme="1"/>
        <rFont val="Calibri"/>
        <family val="2"/>
        <charset val="1"/>
      </rPr>
      <t xml:space="preserve">C </t>
    </r>
    <r>
      <rPr>
        <sz val="10"/>
        <color theme="1"/>
        <rFont val="Calibri"/>
        <family val="2"/>
        <charset val="1"/>
      </rPr>
      <t xml:space="preserve">[m] / </t>
    </r>
    <r>
      <rPr>
        <b/>
        <sz val="10"/>
        <color theme="1"/>
        <rFont val="Calibri"/>
        <family val="2"/>
        <charset val="1"/>
      </rPr>
      <t xml:space="preserve">A </t>
    </r>
    <r>
      <rPr>
        <sz val="10"/>
        <color theme="1"/>
        <rFont val="Calibri"/>
        <family val="2"/>
        <charset val="1"/>
      </rPr>
      <t>[mm²]</t>
    </r>
  </si>
  <si>
    <t>CIRCUITOS SUBTERRÂNEOS</t>
  </si>
  <si>
    <t>Eletroduto</t>
  </si>
  <si>
    <t>Cabeamento</t>
  </si>
  <si>
    <t>Metálico</t>
  </si>
  <si>
    <t>Corrugado</t>
  </si>
  <si>
    <t>PVC Liso</t>
  </si>
  <si>
    <t>DN</t>
  </si>
  <si>
    <t>CIRCUITOS INTERNOS</t>
  </si>
  <si>
    <t>Quadros de Energia</t>
  </si>
  <si>
    <t>Aterramento</t>
  </si>
  <si>
    <t>Qtd Disjuntores</t>
  </si>
  <si>
    <r>
      <rPr>
        <b/>
        <sz val="10"/>
        <color theme="1"/>
        <rFont val="Calibri"/>
        <family val="2"/>
        <charset val="1"/>
      </rPr>
      <t xml:space="preserve">A </t>
    </r>
    <r>
      <rPr>
        <sz val="8"/>
        <color theme="1"/>
        <rFont val="Calibri"/>
        <family val="2"/>
        <charset val="1"/>
      </rPr>
      <t>[mm²]</t>
    </r>
  </si>
  <si>
    <t>Eletrocalha</t>
  </si>
  <si>
    <t>Haste</t>
  </si>
  <si>
    <t>Caixa Inspeção</t>
  </si>
  <si>
    <t>Septo Elétrica</t>
  </si>
  <si>
    <t>Septo Lógica</t>
  </si>
  <si>
    <t>Interruptores</t>
  </si>
  <si>
    <t>C [m]</t>
  </si>
  <si>
    <t>B</t>
  </si>
  <si>
    <t>E</t>
  </si>
  <si>
    <t>LL</t>
  </si>
  <si>
    <t>LR</t>
  </si>
  <si>
    <t>LB</t>
  </si>
  <si>
    <t>TB</t>
  </si>
  <si>
    <t>T</t>
  </si>
  <si>
    <t>X</t>
  </si>
  <si>
    <t>[pol]</t>
  </si>
  <si>
    <t>Quadros de Rede</t>
  </si>
  <si>
    <t>Patch Cord</t>
  </si>
  <si>
    <t>Câmera</t>
  </si>
  <si>
    <t>TV</t>
  </si>
  <si>
    <t>Telefonia</t>
  </si>
  <si>
    <t>Septo</t>
  </si>
  <si>
    <t>Elétrica</t>
  </si>
  <si>
    <t>Lógica</t>
  </si>
  <si>
    <t>RJ 45</t>
  </si>
  <si>
    <t>Keystone</t>
  </si>
  <si>
    <t>Ar Condicionado</t>
  </si>
  <si>
    <t>Ventilador</t>
  </si>
  <si>
    <t>Exaustor</t>
  </si>
  <si>
    <t>Pot</t>
  </si>
  <si>
    <t>Mat Complementar</t>
  </si>
  <si>
    <t>Cabo Elétrico</t>
  </si>
  <si>
    <t>Gás Refrig</t>
  </si>
  <si>
    <t>Refrig</t>
  </si>
  <si>
    <t>Dreno</t>
  </si>
  <si>
    <t>[BTU]</t>
  </si>
  <si>
    <t>Gás Pressurizado</t>
  </si>
  <si>
    <t>Conexões</t>
  </si>
  <si>
    <t>Reguladores</t>
  </si>
  <si>
    <t>Reservatórios</t>
  </si>
  <si>
    <t>Joelhos</t>
  </si>
  <si>
    <t>Curva</t>
  </si>
  <si>
    <t>Luvas</t>
  </si>
  <si>
    <t>Tês</t>
  </si>
  <si>
    <t>Junções</t>
  </si>
  <si>
    <t>Redução Pressão</t>
  </si>
  <si>
    <t>90°</t>
  </si>
  <si>
    <t>45°</t>
  </si>
  <si>
    <t>Simples</t>
  </si>
  <si>
    <t>Redução</t>
  </si>
  <si>
    <t>de</t>
  </si>
  <si>
    <t>para</t>
  </si>
  <si>
    <t>Terminais</t>
  </si>
  <si>
    <t>Equalização</t>
  </si>
  <si>
    <t>Barra</t>
  </si>
  <si>
    <t>Cordoalha</t>
  </si>
  <si>
    <t>Duto</t>
  </si>
  <si>
    <t>Terminal Compressão</t>
  </si>
  <si>
    <t>Fixação</t>
  </si>
  <si>
    <t>Grampo</t>
  </si>
  <si>
    <t>Extintores Portáteis</t>
  </si>
  <si>
    <t>Visor</t>
  </si>
  <si>
    <t>Duto de Contra Incêndio</t>
  </si>
  <si>
    <t>Registro</t>
  </si>
  <si>
    <t>Válvula</t>
  </si>
  <si>
    <t>Cpcd Extint Mín</t>
  </si>
  <si>
    <t>Prof</t>
  </si>
  <si>
    <t>Plaquetas</t>
  </si>
  <si>
    <t>Sinalização de Via</t>
  </si>
  <si>
    <t>Saída</t>
  </si>
  <si>
    <t>Extintor</t>
  </si>
  <si>
    <t>Quadro Força</t>
  </si>
  <si>
    <t>Hidrante</t>
  </si>
  <si>
    <t>Alarme</t>
  </si>
  <si>
    <t>Proibido Fumar</t>
  </si>
  <si>
    <t>Perigo Inflamável</t>
  </si>
  <si>
    <t>Risco Explosão</t>
  </si>
  <si>
    <t>Contra Mão</t>
  </si>
  <si>
    <t>Curva Direita</t>
  </si>
  <si>
    <t>Curva Esquerda</t>
  </si>
  <si>
    <t>40 Km/h</t>
  </si>
  <si>
    <t>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</si>
</sst>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18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name val="Calibri"/>
      <family val="2"/>
      <charset val="1"/>
    </font>
    <font>
      <b/>
      <sz val="8"/>
      <color theme="1"/>
      <name val="Calibri"/>
      <family val="2"/>
      <charset val="1"/>
    </font>
    <font>
      <vertAlign val="superscript"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0"/>
      <color rgb="FFFF0000"/>
      <name val="Calibri"/>
      <family val="2"/>
      <charset val="1"/>
    </font>
    <font>
      <b/>
      <sz val="10"/>
      <name val="Calibri"/>
      <family val="2"/>
      <charset val="1"/>
    </font>
    <font>
      <b/>
      <sz val="8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vertAlign val="subscript"/>
      <sz val="8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u/>
      <sz val="10"/>
      <color rgb="FFFF0000"/>
      <name val="Calibri"/>
      <family val="2"/>
      <charset val="1"/>
    </font>
    <font>
      <vertAlign val="superscript"/>
      <sz val="10"/>
      <color theme="1"/>
      <name val="Calibri"/>
      <family val="2"/>
      <charset val="1"/>
    </font>
    <font>
      <b/>
      <i/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3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right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5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164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9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3D69B"/>
  </sheetPr>
  <dimension ref="B1:V640"/>
  <sheetViews>
    <sheetView tabSelected="1" zoomScale="89" zoomScaleNormal="89" workbookViewId="0">
      <selection activeCell="B107" sqref="B107:D107"/>
    </sheetView>
  </sheetViews>
  <sheetFormatPr defaultColWidth="7.6640625" defaultRowHeight="13.8" x14ac:dyDescent="0.3"/>
  <cols>
    <col min="1" max="16384" width="7.6640625" style="12"/>
  </cols>
  <sheetData>
    <row r="1" spans="2:22" ht="14.1" customHeight="1" x14ac:dyDescent="0.3">
      <c r="B1" s="128" t="s">
        <v>0</v>
      </c>
      <c r="C1" s="128"/>
      <c r="D1" s="128"/>
      <c r="E1" s="128"/>
      <c r="F1" s="128"/>
    </row>
    <row r="2" spans="2:22" ht="14.1" customHeight="1" x14ac:dyDescent="0.3">
      <c r="B2" s="14"/>
      <c r="C2" s="14"/>
      <c r="D2" s="14"/>
      <c r="E2" s="14"/>
      <c r="F2" s="15"/>
      <c r="G2" s="15"/>
      <c r="H2" s="15"/>
      <c r="I2" s="15"/>
    </row>
    <row r="3" spans="2:22" ht="14.1" customHeight="1" x14ac:dyDescent="0.3">
      <c r="B3" s="129" t="s">
        <v>1</v>
      </c>
      <c r="C3" s="129"/>
      <c r="D3" s="129"/>
      <c r="E3" s="129"/>
      <c r="F3" s="15"/>
      <c r="G3" s="15"/>
      <c r="H3" s="15"/>
      <c r="I3" s="15"/>
    </row>
    <row r="4" spans="2:22" ht="14.1" customHeight="1" x14ac:dyDescent="0.3">
      <c r="B4" s="16"/>
      <c r="C4" s="14"/>
      <c r="D4" s="14"/>
      <c r="E4" s="14"/>
      <c r="F4" s="15"/>
      <c r="G4" s="15"/>
      <c r="H4" s="15"/>
      <c r="I4" s="15"/>
    </row>
    <row r="5" spans="2:22" ht="14.1" customHeight="1" x14ac:dyDescent="0.3">
      <c r="B5" s="15"/>
      <c r="C5" s="15"/>
      <c r="D5" s="15"/>
      <c r="E5" s="116" t="s">
        <v>2</v>
      </c>
      <c r="F5" s="116"/>
      <c r="G5" s="116"/>
      <c r="H5" s="116"/>
      <c r="I5" s="116"/>
      <c r="J5" s="117" t="s">
        <v>3</v>
      </c>
      <c r="K5" s="117"/>
      <c r="L5" s="117"/>
      <c r="M5" s="117"/>
      <c r="N5" s="117"/>
      <c r="O5" s="117" t="s">
        <v>4</v>
      </c>
      <c r="P5" s="117"/>
      <c r="Q5" s="117"/>
      <c r="R5" s="117"/>
      <c r="S5" s="117"/>
    </row>
    <row r="6" spans="2:22" ht="14.1" customHeight="1" x14ac:dyDescent="0.3">
      <c r="B6" s="116" t="s">
        <v>5</v>
      </c>
      <c r="C6" s="116"/>
      <c r="D6" s="116"/>
      <c r="E6" s="9" t="s">
        <v>6</v>
      </c>
      <c r="F6" s="9" t="s">
        <v>7</v>
      </c>
      <c r="G6" s="9" t="s">
        <v>8</v>
      </c>
      <c r="H6" s="9" t="s">
        <v>9</v>
      </c>
      <c r="I6" s="10" t="s">
        <v>10</v>
      </c>
      <c r="J6" s="116" t="s">
        <v>11</v>
      </c>
      <c r="K6" s="9" t="s">
        <v>6</v>
      </c>
      <c r="L6" s="9" t="s">
        <v>8</v>
      </c>
      <c r="M6" s="9" t="s">
        <v>9</v>
      </c>
      <c r="N6" s="10" t="s">
        <v>10</v>
      </c>
      <c r="O6" s="116" t="s">
        <v>11</v>
      </c>
      <c r="P6" s="9" t="s">
        <v>6</v>
      </c>
      <c r="Q6" s="9" t="s">
        <v>8</v>
      </c>
      <c r="R6" s="9" t="s">
        <v>9</v>
      </c>
      <c r="S6" s="9" t="s">
        <v>12</v>
      </c>
    </row>
    <row r="7" spans="2:22" ht="14.1" customHeight="1" x14ac:dyDescent="0.3">
      <c r="B7" s="116"/>
      <c r="C7" s="116"/>
      <c r="D7" s="116"/>
      <c r="E7" s="17" t="s">
        <v>13</v>
      </c>
      <c r="F7" s="17" t="s">
        <v>13</v>
      </c>
      <c r="G7" s="17" t="s">
        <v>13</v>
      </c>
      <c r="H7" s="17" t="s">
        <v>13</v>
      </c>
      <c r="I7" s="18" t="s">
        <v>14</v>
      </c>
      <c r="J7" s="116"/>
      <c r="K7" s="17" t="s">
        <v>13</v>
      </c>
      <c r="L7" s="17" t="s">
        <v>13</v>
      </c>
      <c r="M7" s="17" t="s">
        <v>13</v>
      </c>
      <c r="N7" s="18" t="s">
        <v>14</v>
      </c>
      <c r="O7" s="116"/>
      <c r="P7" s="17" t="s">
        <v>13</v>
      </c>
      <c r="Q7" s="17" t="s">
        <v>13</v>
      </c>
      <c r="R7" s="17" t="s">
        <v>13</v>
      </c>
      <c r="S7" s="17" t="s">
        <v>15</v>
      </c>
    </row>
    <row r="8" spans="2:22" ht="14.1" customHeight="1" x14ac:dyDescent="0.3">
      <c r="B8" s="110"/>
      <c r="C8" s="110"/>
      <c r="D8" s="110"/>
      <c r="E8" s="17"/>
      <c r="F8" s="17"/>
      <c r="G8" s="17"/>
      <c r="H8" s="19"/>
      <c r="I8" s="20">
        <f t="shared" ref="I8:I108" si="0">E8*F8</f>
        <v>0</v>
      </c>
      <c r="J8" s="17"/>
      <c r="K8" s="17"/>
      <c r="L8" s="17"/>
      <c r="M8" s="19"/>
      <c r="N8" s="20">
        <f t="shared" ref="N8:N108" si="1">K8*L8</f>
        <v>0</v>
      </c>
      <c r="O8" s="19"/>
      <c r="P8" s="17"/>
      <c r="Q8" s="17"/>
      <c r="R8" s="17"/>
      <c r="S8" s="20">
        <f t="shared" ref="S8:S108" si="2">R8*Q8*P8</f>
        <v>0</v>
      </c>
      <c r="U8" s="15"/>
      <c r="V8" s="15"/>
    </row>
    <row r="9" spans="2:22" ht="14.1" customHeight="1" x14ac:dyDescent="0.3">
      <c r="B9" s="127"/>
      <c r="C9" s="127"/>
      <c r="D9" s="127"/>
      <c r="E9" s="17"/>
      <c r="F9" s="17"/>
      <c r="G9" s="17"/>
      <c r="H9" s="19"/>
      <c r="I9" s="20">
        <f t="shared" si="0"/>
        <v>0</v>
      </c>
      <c r="J9" s="17"/>
      <c r="K9" s="17"/>
      <c r="L9" s="17"/>
      <c r="M9" s="19"/>
      <c r="N9" s="20">
        <f t="shared" si="1"/>
        <v>0</v>
      </c>
      <c r="O9" s="19"/>
      <c r="P9" s="17"/>
      <c r="Q9" s="17"/>
      <c r="R9" s="17"/>
      <c r="S9" s="20">
        <f t="shared" si="2"/>
        <v>0</v>
      </c>
      <c r="U9" s="21"/>
      <c r="V9" s="21"/>
    </row>
    <row r="10" spans="2:22" ht="14.1" customHeight="1" x14ac:dyDescent="0.3">
      <c r="B10" s="127"/>
      <c r="C10" s="127"/>
      <c r="D10" s="127"/>
      <c r="E10" s="17"/>
      <c r="F10" s="17"/>
      <c r="G10" s="17"/>
      <c r="H10" s="19"/>
      <c r="I10" s="20">
        <f t="shared" si="0"/>
        <v>0</v>
      </c>
      <c r="J10" s="17"/>
      <c r="K10" s="17"/>
      <c r="L10" s="17"/>
      <c r="M10" s="19"/>
      <c r="N10" s="20">
        <f t="shared" si="1"/>
        <v>0</v>
      </c>
      <c r="O10" s="19"/>
      <c r="P10" s="17"/>
      <c r="Q10" s="17"/>
      <c r="R10" s="17"/>
      <c r="S10" s="20">
        <f t="shared" si="2"/>
        <v>0</v>
      </c>
      <c r="U10" s="21"/>
      <c r="V10" s="21"/>
    </row>
    <row r="11" spans="2:22" ht="14.1" customHeight="1" x14ac:dyDescent="0.3">
      <c r="B11" s="127"/>
      <c r="C11" s="127"/>
      <c r="D11" s="127"/>
      <c r="E11" s="17"/>
      <c r="F11" s="17"/>
      <c r="G11" s="17"/>
      <c r="H11" s="19"/>
      <c r="I11" s="20">
        <f t="shared" si="0"/>
        <v>0</v>
      </c>
      <c r="J11" s="17"/>
      <c r="K11" s="17"/>
      <c r="L11" s="17"/>
      <c r="M11" s="19"/>
      <c r="N11" s="20">
        <f t="shared" si="1"/>
        <v>0</v>
      </c>
      <c r="O11" s="19"/>
      <c r="P11" s="17"/>
      <c r="Q11" s="17"/>
      <c r="R11" s="17"/>
      <c r="S11" s="20">
        <f t="shared" si="2"/>
        <v>0</v>
      </c>
      <c r="U11" s="21"/>
      <c r="V11" s="21"/>
    </row>
    <row r="12" spans="2:22" ht="14.1" customHeight="1" x14ac:dyDescent="0.3">
      <c r="B12" s="127"/>
      <c r="C12" s="127"/>
      <c r="D12" s="127"/>
      <c r="E12" s="17"/>
      <c r="F12" s="17"/>
      <c r="G12" s="17"/>
      <c r="H12" s="19"/>
      <c r="I12" s="20">
        <f t="shared" si="0"/>
        <v>0</v>
      </c>
      <c r="J12" s="17"/>
      <c r="K12" s="17"/>
      <c r="L12" s="17"/>
      <c r="M12" s="19"/>
      <c r="N12" s="20">
        <f t="shared" si="1"/>
        <v>0</v>
      </c>
      <c r="O12" s="19"/>
      <c r="P12" s="17"/>
      <c r="Q12" s="17"/>
      <c r="R12" s="17"/>
      <c r="S12" s="20">
        <f t="shared" si="2"/>
        <v>0</v>
      </c>
      <c r="U12" s="21"/>
      <c r="V12" s="21"/>
    </row>
    <row r="13" spans="2:22" ht="14.1" customHeight="1" x14ac:dyDescent="0.3">
      <c r="B13" s="127"/>
      <c r="C13" s="127"/>
      <c r="D13" s="127"/>
      <c r="E13" s="17"/>
      <c r="F13" s="17"/>
      <c r="G13" s="17"/>
      <c r="H13" s="19"/>
      <c r="I13" s="20">
        <f t="shared" si="0"/>
        <v>0</v>
      </c>
      <c r="J13" s="17"/>
      <c r="K13" s="17"/>
      <c r="L13" s="17"/>
      <c r="M13" s="19"/>
      <c r="N13" s="20">
        <f t="shared" si="1"/>
        <v>0</v>
      </c>
      <c r="O13" s="19"/>
      <c r="P13" s="17"/>
      <c r="Q13" s="17"/>
      <c r="R13" s="17"/>
      <c r="S13" s="20">
        <f t="shared" si="2"/>
        <v>0</v>
      </c>
    </row>
    <row r="14" spans="2:22" ht="14.1" customHeight="1" x14ac:dyDescent="0.3">
      <c r="B14" s="127"/>
      <c r="C14" s="127"/>
      <c r="D14" s="127"/>
      <c r="E14" s="17"/>
      <c r="F14" s="17"/>
      <c r="G14" s="17"/>
      <c r="H14" s="19"/>
      <c r="I14" s="20">
        <f t="shared" si="0"/>
        <v>0</v>
      </c>
      <c r="J14" s="17"/>
      <c r="K14" s="17"/>
      <c r="L14" s="17"/>
      <c r="M14" s="19"/>
      <c r="N14" s="20">
        <f t="shared" si="1"/>
        <v>0</v>
      </c>
      <c r="O14" s="19"/>
      <c r="P14" s="17"/>
      <c r="Q14" s="17"/>
      <c r="R14" s="17"/>
      <c r="S14" s="20">
        <f t="shared" si="2"/>
        <v>0</v>
      </c>
    </row>
    <row r="15" spans="2:22" ht="14.1" customHeight="1" x14ac:dyDescent="0.3">
      <c r="B15" s="127"/>
      <c r="C15" s="127"/>
      <c r="D15" s="127"/>
      <c r="E15" s="17"/>
      <c r="F15" s="17"/>
      <c r="G15" s="17"/>
      <c r="H15" s="19"/>
      <c r="I15" s="20">
        <f t="shared" si="0"/>
        <v>0</v>
      </c>
      <c r="J15" s="17"/>
      <c r="K15" s="17"/>
      <c r="L15" s="17"/>
      <c r="M15" s="19"/>
      <c r="N15" s="20">
        <f t="shared" si="1"/>
        <v>0</v>
      </c>
      <c r="O15" s="19"/>
      <c r="P15" s="17"/>
      <c r="Q15" s="17"/>
      <c r="R15" s="17"/>
      <c r="S15" s="20">
        <f t="shared" si="2"/>
        <v>0</v>
      </c>
    </row>
    <row r="16" spans="2:22" ht="14.1" customHeight="1" x14ac:dyDescent="0.3">
      <c r="B16" s="127"/>
      <c r="C16" s="127"/>
      <c r="D16" s="127"/>
      <c r="E16" s="17"/>
      <c r="F16" s="17"/>
      <c r="G16" s="17"/>
      <c r="H16" s="19"/>
      <c r="I16" s="20">
        <f t="shared" si="0"/>
        <v>0</v>
      </c>
      <c r="J16" s="17"/>
      <c r="K16" s="17"/>
      <c r="L16" s="17"/>
      <c r="M16" s="19"/>
      <c r="N16" s="20">
        <f t="shared" si="1"/>
        <v>0</v>
      </c>
      <c r="O16" s="19"/>
      <c r="P16" s="17"/>
      <c r="Q16" s="17"/>
      <c r="R16" s="17"/>
      <c r="S16" s="20">
        <f t="shared" si="2"/>
        <v>0</v>
      </c>
    </row>
    <row r="17" spans="2:19" ht="14.1" customHeight="1" x14ac:dyDescent="0.3">
      <c r="B17" s="127"/>
      <c r="C17" s="127"/>
      <c r="D17" s="127"/>
      <c r="E17" s="17"/>
      <c r="F17" s="17"/>
      <c r="G17" s="17"/>
      <c r="H17" s="19"/>
      <c r="I17" s="20">
        <f t="shared" si="0"/>
        <v>0</v>
      </c>
      <c r="J17" s="17"/>
      <c r="K17" s="17"/>
      <c r="L17" s="17"/>
      <c r="M17" s="19"/>
      <c r="N17" s="20">
        <f t="shared" si="1"/>
        <v>0</v>
      </c>
      <c r="O17" s="19"/>
      <c r="P17" s="17"/>
      <c r="Q17" s="17"/>
      <c r="R17" s="17"/>
      <c r="S17" s="20">
        <f t="shared" si="2"/>
        <v>0</v>
      </c>
    </row>
    <row r="18" spans="2:19" ht="14.1" customHeight="1" x14ac:dyDescent="0.3">
      <c r="B18" s="127"/>
      <c r="C18" s="127"/>
      <c r="D18" s="127"/>
      <c r="E18" s="17"/>
      <c r="F18" s="17"/>
      <c r="G18" s="17"/>
      <c r="H18" s="19"/>
      <c r="I18" s="20">
        <f t="shared" si="0"/>
        <v>0</v>
      </c>
      <c r="J18" s="17"/>
      <c r="K18" s="17"/>
      <c r="L18" s="17"/>
      <c r="M18" s="19"/>
      <c r="N18" s="20">
        <f t="shared" si="1"/>
        <v>0</v>
      </c>
      <c r="O18" s="19"/>
      <c r="P18" s="17"/>
      <c r="Q18" s="17"/>
      <c r="R18" s="17"/>
      <c r="S18" s="20">
        <f t="shared" si="2"/>
        <v>0</v>
      </c>
    </row>
    <row r="19" spans="2:19" ht="14.1" customHeight="1" x14ac:dyDescent="0.3">
      <c r="B19" s="127"/>
      <c r="C19" s="127"/>
      <c r="D19" s="127"/>
      <c r="E19" s="17"/>
      <c r="F19" s="17"/>
      <c r="G19" s="17"/>
      <c r="H19" s="19"/>
      <c r="I19" s="20">
        <f t="shared" si="0"/>
        <v>0</v>
      </c>
      <c r="J19" s="17"/>
      <c r="K19" s="17"/>
      <c r="L19" s="17"/>
      <c r="M19" s="19"/>
      <c r="N19" s="20">
        <f t="shared" si="1"/>
        <v>0</v>
      </c>
      <c r="O19" s="19"/>
      <c r="P19" s="17"/>
      <c r="Q19" s="17"/>
      <c r="R19" s="17"/>
      <c r="S19" s="20">
        <f t="shared" si="2"/>
        <v>0</v>
      </c>
    </row>
    <row r="20" spans="2:19" ht="14.1" customHeight="1" x14ac:dyDescent="0.3">
      <c r="B20" s="127"/>
      <c r="C20" s="127"/>
      <c r="D20" s="127"/>
      <c r="E20" s="17"/>
      <c r="F20" s="17"/>
      <c r="G20" s="17"/>
      <c r="H20" s="19"/>
      <c r="I20" s="20">
        <f t="shared" si="0"/>
        <v>0</v>
      </c>
      <c r="J20" s="17"/>
      <c r="K20" s="17"/>
      <c r="L20" s="17"/>
      <c r="M20" s="19"/>
      <c r="N20" s="20">
        <f t="shared" si="1"/>
        <v>0</v>
      </c>
      <c r="O20" s="19"/>
      <c r="P20" s="17"/>
      <c r="Q20" s="17"/>
      <c r="R20" s="17"/>
      <c r="S20" s="20">
        <f t="shared" si="2"/>
        <v>0</v>
      </c>
    </row>
    <row r="21" spans="2:19" ht="14.1" customHeight="1" x14ac:dyDescent="0.3">
      <c r="B21" s="127"/>
      <c r="C21" s="127"/>
      <c r="D21" s="127"/>
      <c r="E21" s="17"/>
      <c r="F21" s="17"/>
      <c r="G21" s="17"/>
      <c r="H21" s="19"/>
      <c r="I21" s="20">
        <f t="shared" si="0"/>
        <v>0</v>
      </c>
      <c r="J21" s="17"/>
      <c r="K21" s="17"/>
      <c r="L21" s="17"/>
      <c r="M21" s="19"/>
      <c r="N21" s="20">
        <f t="shared" si="1"/>
        <v>0</v>
      </c>
      <c r="O21" s="19"/>
      <c r="P21" s="17"/>
      <c r="Q21" s="17"/>
      <c r="R21" s="17"/>
      <c r="S21" s="20">
        <f t="shared" si="2"/>
        <v>0</v>
      </c>
    </row>
    <row r="22" spans="2:19" ht="14.1" customHeight="1" x14ac:dyDescent="0.3">
      <c r="B22" s="127"/>
      <c r="C22" s="127"/>
      <c r="D22" s="127"/>
      <c r="E22" s="17"/>
      <c r="F22" s="17"/>
      <c r="G22" s="17"/>
      <c r="H22" s="19"/>
      <c r="I22" s="20">
        <f t="shared" si="0"/>
        <v>0</v>
      </c>
      <c r="J22" s="17"/>
      <c r="K22" s="17"/>
      <c r="L22" s="17"/>
      <c r="M22" s="19"/>
      <c r="N22" s="20">
        <f t="shared" si="1"/>
        <v>0</v>
      </c>
      <c r="O22" s="19"/>
      <c r="P22" s="17"/>
      <c r="Q22" s="17"/>
      <c r="R22" s="17"/>
      <c r="S22" s="20">
        <f t="shared" si="2"/>
        <v>0</v>
      </c>
    </row>
    <row r="23" spans="2:19" ht="14.1" customHeight="1" x14ac:dyDescent="0.3">
      <c r="B23" s="127"/>
      <c r="C23" s="127"/>
      <c r="D23" s="127"/>
      <c r="E23" s="17"/>
      <c r="F23" s="17"/>
      <c r="G23" s="17"/>
      <c r="H23" s="19"/>
      <c r="I23" s="20">
        <f t="shared" si="0"/>
        <v>0</v>
      </c>
      <c r="J23" s="17"/>
      <c r="K23" s="17"/>
      <c r="L23" s="17"/>
      <c r="M23" s="19"/>
      <c r="N23" s="20">
        <f t="shared" si="1"/>
        <v>0</v>
      </c>
      <c r="O23" s="19"/>
      <c r="P23" s="17"/>
      <c r="Q23" s="17"/>
      <c r="R23" s="17"/>
      <c r="S23" s="20">
        <f t="shared" si="2"/>
        <v>0</v>
      </c>
    </row>
    <row r="24" spans="2:19" ht="14.1" customHeight="1" x14ac:dyDescent="0.3">
      <c r="B24" s="110"/>
      <c r="C24" s="110"/>
      <c r="D24" s="110"/>
      <c r="E24" s="17"/>
      <c r="F24" s="17"/>
      <c r="G24" s="17"/>
      <c r="H24" s="19"/>
      <c r="I24" s="20">
        <f t="shared" si="0"/>
        <v>0</v>
      </c>
      <c r="J24" s="17"/>
      <c r="K24" s="17"/>
      <c r="L24" s="17"/>
      <c r="M24" s="19"/>
      <c r="N24" s="20">
        <f t="shared" si="1"/>
        <v>0</v>
      </c>
      <c r="O24" s="19"/>
      <c r="P24" s="17"/>
      <c r="Q24" s="17"/>
      <c r="R24" s="17"/>
      <c r="S24" s="20">
        <f t="shared" si="2"/>
        <v>0</v>
      </c>
    </row>
    <row r="25" spans="2:19" ht="14.1" customHeight="1" x14ac:dyDescent="0.3">
      <c r="B25" s="127"/>
      <c r="C25" s="127"/>
      <c r="D25" s="127"/>
      <c r="E25" s="17"/>
      <c r="F25" s="17"/>
      <c r="G25" s="17"/>
      <c r="H25" s="19"/>
      <c r="I25" s="20">
        <f t="shared" si="0"/>
        <v>0</v>
      </c>
      <c r="J25" s="17"/>
      <c r="K25" s="17"/>
      <c r="L25" s="17"/>
      <c r="M25" s="19"/>
      <c r="N25" s="20">
        <f t="shared" si="1"/>
        <v>0</v>
      </c>
      <c r="O25" s="19"/>
      <c r="P25" s="17"/>
      <c r="Q25" s="17"/>
      <c r="R25" s="17"/>
      <c r="S25" s="20">
        <f t="shared" si="2"/>
        <v>0</v>
      </c>
    </row>
    <row r="26" spans="2:19" ht="14.1" customHeight="1" x14ac:dyDescent="0.3">
      <c r="B26" s="127"/>
      <c r="C26" s="127"/>
      <c r="D26" s="127"/>
      <c r="E26" s="17"/>
      <c r="F26" s="17"/>
      <c r="G26" s="17"/>
      <c r="H26" s="19"/>
      <c r="I26" s="20">
        <f t="shared" si="0"/>
        <v>0</v>
      </c>
      <c r="J26" s="17"/>
      <c r="K26" s="17"/>
      <c r="L26" s="17"/>
      <c r="M26" s="19"/>
      <c r="N26" s="20">
        <f t="shared" si="1"/>
        <v>0</v>
      </c>
      <c r="O26" s="19"/>
      <c r="P26" s="17"/>
      <c r="Q26" s="17"/>
      <c r="R26" s="17"/>
      <c r="S26" s="20">
        <f t="shared" si="2"/>
        <v>0</v>
      </c>
    </row>
    <row r="27" spans="2:19" ht="14.1" customHeight="1" x14ac:dyDescent="0.3">
      <c r="B27" s="127"/>
      <c r="C27" s="127"/>
      <c r="D27" s="127"/>
      <c r="E27" s="17"/>
      <c r="F27" s="17"/>
      <c r="G27" s="17"/>
      <c r="H27" s="19"/>
      <c r="I27" s="20">
        <f t="shared" si="0"/>
        <v>0</v>
      </c>
      <c r="J27" s="17"/>
      <c r="K27" s="17"/>
      <c r="L27" s="17"/>
      <c r="M27" s="19"/>
      <c r="N27" s="20">
        <f t="shared" si="1"/>
        <v>0</v>
      </c>
      <c r="O27" s="19"/>
      <c r="P27" s="17"/>
      <c r="Q27" s="17"/>
      <c r="R27" s="17"/>
      <c r="S27" s="20">
        <f t="shared" si="2"/>
        <v>0</v>
      </c>
    </row>
    <row r="28" spans="2:19" ht="14.1" customHeight="1" x14ac:dyDescent="0.3">
      <c r="B28" s="110"/>
      <c r="C28" s="110"/>
      <c r="D28" s="110"/>
      <c r="E28" s="17"/>
      <c r="F28" s="17"/>
      <c r="G28" s="17"/>
      <c r="H28" s="19"/>
      <c r="I28" s="20">
        <f t="shared" si="0"/>
        <v>0</v>
      </c>
      <c r="J28" s="17"/>
      <c r="K28" s="17"/>
      <c r="L28" s="17"/>
      <c r="M28" s="19"/>
      <c r="N28" s="20">
        <f t="shared" si="1"/>
        <v>0</v>
      </c>
      <c r="O28" s="19"/>
      <c r="P28" s="17"/>
      <c r="Q28" s="17"/>
      <c r="R28" s="17"/>
      <c r="S28" s="20">
        <f t="shared" si="2"/>
        <v>0</v>
      </c>
    </row>
    <row r="29" spans="2:19" ht="14.1" customHeight="1" x14ac:dyDescent="0.3">
      <c r="B29" s="127"/>
      <c r="C29" s="127"/>
      <c r="D29" s="127"/>
      <c r="E29" s="17"/>
      <c r="F29" s="17"/>
      <c r="G29" s="17"/>
      <c r="H29" s="19"/>
      <c r="I29" s="20">
        <f t="shared" si="0"/>
        <v>0</v>
      </c>
      <c r="J29" s="17"/>
      <c r="K29" s="17"/>
      <c r="L29" s="17"/>
      <c r="M29" s="19"/>
      <c r="N29" s="20">
        <f t="shared" si="1"/>
        <v>0</v>
      </c>
      <c r="O29" s="19"/>
      <c r="P29" s="17"/>
      <c r="Q29" s="17"/>
      <c r="R29" s="17"/>
      <c r="S29" s="20">
        <f t="shared" si="2"/>
        <v>0</v>
      </c>
    </row>
    <row r="30" spans="2:19" ht="14.1" customHeight="1" x14ac:dyDescent="0.3">
      <c r="B30" s="127"/>
      <c r="C30" s="127"/>
      <c r="D30" s="127"/>
      <c r="E30" s="17"/>
      <c r="F30" s="17"/>
      <c r="G30" s="17"/>
      <c r="H30" s="19"/>
      <c r="I30" s="20">
        <f t="shared" si="0"/>
        <v>0</v>
      </c>
      <c r="J30" s="17"/>
      <c r="K30" s="17"/>
      <c r="L30" s="17"/>
      <c r="M30" s="19"/>
      <c r="N30" s="20">
        <f t="shared" si="1"/>
        <v>0</v>
      </c>
      <c r="O30" s="19"/>
      <c r="P30" s="17"/>
      <c r="Q30" s="17"/>
      <c r="R30" s="17"/>
      <c r="S30" s="20">
        <f t="shared" si="2"/>
        <v>0</v>
      </c>
    </row>
    <row r="31" spans="2:19" ht="14.1" customHeight="1" x14ac:dyDescent="0.3">
      <c r="B31" s="127"/>
      <c r="C31" s="127"/>
      <c r="D31" s="127"/>
      <c r="E31" s="17"/>
      <c r="F31" s="17"/>
      <c r="G31" s="17"/>
      <c r="H31" s="19"/>
      <c r="I31" s="20">
        <f t="shared" si="0"/>
        <v>0</v>
      </c>
      <c r="J31" s="17"/>
      <c r="K31" s="17"/>
      <c r="L31" s="17"/>
      <c r="M31" s="19"/>
      <c r="N31" s="20">
        <f t="shared" si="1"/>
        <v>0</v>
      </c>
      <c r="O31" s="19"/>
      <c r="P31" s="17"/>
      <c r="Q31" s="17"/>
      <c r="R31" s="17"/>
      <c r="S31" s="20">
        <f t="shared" si="2"/>
        <v>0</v>
      </c>
    </row>
    <row r="32" spans="2:19" ht="14.1" customHeight="1" x14ac:dyDescent="0.3">
      <c r="B32" s="127"/>
      <c r="C32" s="127"/>
      <c r="D32" s="127"/>
      <c r="E32" s="17"/>
      <c r="F32" s="17"/>
      <c r="G32" s="17"/>
      <c r="H32" s="19"/>
      <c r="I32" s="20">
        <f t="shared" si="0"/>
        <v>0</v>
      </c>
      <c r="J32" s="17"/>
      <c r="K32" s="17"/>
      <c r="L32" s="17"/>
      <c r="M32" s="19"/>
      <c r="N32" s="20">
        <f t="shared" si="1"/>
        <v>0</v>
      </c>
      <c r="O32" s="19"/>
      <c r="P32" s="17"/>
      <c r="Q32" s="17"/>
      <c r="R32" s="17"/>
      <c r="S32" s="20">
        <f t="shared" si="2"/>
        <v>0</v>
      </c>
    </row>
    <row r="33" spans="2:19" ht="14.1" customHeight="1" x14ac:dyDescent="0.3">
      <c r="B33" s="127"/>
      <c r="C33" s="127"/>
      <c r="D33" s="127"/>
      <c r="E33" s="17"/>
      <c r="F33" s="17"/>
      <c r="G33" s="17"/>
      <c r="H33" s="19"/>
      <c r="I33" s="20">
        <f t="shared" si="0"/>
        <v>0</v>
      </c>
      <c r="J33" s="17"/>
      <c r="K33" s="17"/>
      <c r="L33" s="17"/>
      <c r="M33" s="19"/>
      <c r="N33" s="20">
        <f t="shared" si="1"/>
        <v>0</v>
      </c>
      <c r="O33" s="19"/>
      <c r="P33" s="17"/>
      <c r="Q33" s="17"/>
      <c r="R33" s="17"/>
      <c r="S33" s="20">
        <f t="shared" si="2"/>
        <v>0</v>
      </c>
    </row>
    <row r="34" spans="2:19" ht="14.1" customHeight="1" x14ac:dyDescent="0.3">
      <c r="B34" s="127"/>
      <c r="C34" s="127"/>
      <c r="D34" s="127"/>
      <c r="E34" s="17"/>
      <c r="F34" s="17"/>
      <c r="G34" s="17"/>
      <c r="H34" s="19"/>
      <c r="I34" s="20">
        <f t="shared" si="0"/>
        <v>0</v>
      </c>
      <c r="J34" s="17"/>
      <c r="K34" s="17"/>
      <c r="L34" s="17"/>
      <c r="M34" s="19"/>
      <c r="N34" s="20">
        <f t="shared" si="1"/>
        <v>0</v>
      </c>
      <c r="O34" s="19"/>
      <c r="P34" s="17"/>
      <c r="Q34" s="17"/>
      <c r="R34" s="17"/>
      <c r="S34" s="20">
        <f t="shared" si="2"/>
        <v>0</v>
      </c>
    </row>
    <row r="35" spans="2:19" ht="14.1" customHeight="1" x14ac:dyDescent="0.3">
      <c r="B35" s="127"/>
      <c r="C35" s="127"/>
      <c r="D35" s="127"/>
      <c r="E35" s="17"/>
      <c r="F35" s="17"/>
      <c r="G35" s="17"/>
      <c r="H35" s="19"/>
      <c r="I35" s="20">
        <f t="shared" si="0"/>
        <v>0</v>
      </c>
      <c r="J35" s="17"/>
      <c r="K35" s="17"/>
      <c r="L35" s="17"/>
      <c r="M35" s="19"/>
      <c r="N35" s="20">
        <f t="shared" si="1"/>
        <v>0</v>
      </c>
      <c r="O35" s="19"/>
      <c r="P35" s="17"/>
      <c r="Q35" s="17"/>
      <c r="R35" s="17"/>
      <c r="S35" s="20">
        <f t="shared" si="2"/>
        <v>0</v>
      </c>
    </row>
    <row r="36" spans="2:19" ht="14.1" customHeight="1" x14ac:dyDescent="0.3">
      <c r="B36" s="127"/>
      <c r="C36" s="127"/>
      <c r="D36" s="127"/>
      <c r="E36" s="17"/>
      <c r="F36" s="17"/>
      <c r="G36" s="17"/>
      <c r="H36" s="19"/>
      <c r="I36" s="20">
        <f t="shared" si="0"/>
        <v>0</v>
      </c>
      <c r="J36" s="17"/>
      <c r="K36" s="17"/>
      <c r="L36" s="17"/>
      <c r="M36" s="19"/>
      <c r="N36" s="20">
        <f t="shared" si="1"/>
        <v>0</v>
      </c>
      <c r="O36" s="19"/>
      <c r="P36" s="17"/>
      <c r="Q36" s="17"/>
      <c r="R36" s="17"/>
      <c r="S36" s="20">
        <f t="shared" si="2"/>
        <v>0</v>
      </c>
    </row>
    <row r="37" spans="2:19" ht="14.1" customHeight="1" x14ac:dyDescent="0.3">
      <c r="B37" s="127"/>
      <c r="C37" s="127"/>
      <c r="D37" s="127"/>
      <c r="E37" s="17"/>
      <c r="F37" s="17"/>
      <c r="G37" s="17"/>
      <c r="H37" s="19"/>
      <c r="I37" s="20">
        <f t="shared" si="0"/>
        <v>0</v>
      </c>
      <c r="J37" s="17"/>
      <c r="K37" s="17"/>
      <c r="L37" s="17"/>
      <c r="M37" s="19"/>
      <c r="N37" s="20">
        <f t="shared" si="1"/>
        <v>0</v>
      </c>
      <c r="O37" s="19"/>
      <c r="P37" s="17"/>
      <c r="Q37" s="17"/>
      <c r="R37" s="17"/>
      <c r="S37" s="20">
        <f t="shared" si="2"/>
        <v>0</v>
      </c>
    </row>
    <row r="38" spans="2:19" ht="14.1" customHeight="1" x14ac:dyDescent="0.3">
      <c r="B38" s="127"/>
      <c r="C38" s="127"/>
      <c r="D38" s="127"/>
      <c r="E38" s="17"/>
      <c r="F38" s="17"/>
      <c r="G38" s="17"/>
      <c r="H38" s="19"/>
      <c r="I38" s="20">
        <f t="shared" si="0"/>
        <v>0</v>
      </c>
      <c r="J38" s="17"/>
      <c r="K38" s="17"/>
      <c r="L38" s="17"/>
      <c r="M38" s="19"/>
      <c r="N38" s="20">
        <f t="shared" si="1"/>
        <v>0</v>
      </c>
      <c r="O38" s="19"/>
      <c r="P38" s="17"/>
      <c r="Q38" s="17"/>
      <c r="R38" s="17"/>
      <c r="S38" s="20">
        <f t="shared" si="2"/>
        <v>0</v>
      </c>
    </row>
    <row r="39" spans="2:19" ht="14.1" customHeight="1" x14ac:dyDescent="0.3">
      <c r="B39" s="127"/>
      <c r="C39" s="127"/>
      <c r="D39" s="127"/>
      <c r="E39" s="17"/>
      <c r="F39" s="17"/>
      <c r="G39" s="17"/>
      <c r="H39" s="19"/>
      <c r="I39" s="20">
        <f t="shared" si="0"/>
        <v>0</v>
      </c>
      <c r="J39" s="17"/>
      <c r="K39" s="17"/>
      <c r="L39" s="17"/>
      <c r="M39" s="19"/>
      <c r="N39" s="20">
        <f t="shared" si="1"/>
        <v>0</v>
      </c>
      <c r="O39" s="19"/>
      <c r="P39" s="17"/>
      <c r="Q39" s="17"/>
      <c r="R39" s="17"/>
      <c r="S39" s="20">
        <f t="shared" si="2"/>
        <v>0</v>
      </c>
    </row>
    <row r="40" spans="2:19" ht="14.1" customHeight="1" x14ac:dyDescent="0.3">
      <c r="B40" s="127"/>
      <c r="C40" s="127"/>
      <c r="D40" s="127"/>
      <c r="E40" s="17"/>
      <c r="F40" s="17"/>
      <c r="G40" s="17"/>
      <c r="H40" s="19"/>
      <c r="I40" s="20">
        <f t="shared" si="0"/>
        <v>0</v>
      </c>
      <c r="J40" s="17"/>
      <c r="K40" s="17"/>
      <c r="L40" s="17"/>
      <c r="M40" s="19"/>
      <c r="N40" s="20">
        <f t="shared" si="1"/>
        <v>0</v>
      </c>
      <c r="O40" s="19"/>
      <c r="P40" s="17"/>
      <c r="Q40" s="17"/>
      <c r="R40" s="17"/>
      <c r="S40" s="20">
        <f t="shared" si="2"/>
        <v>0</v>
      </c>
    </row>
    <row r="41" spans="2:19" ht="14.1" customHeight="1" x14ac:dyDescent="0.3">
      <c r="B41" s="127"/>
      <c r="C41" s="127"/>
      <c r="D41" s="127"/>
      <c r="E41" s="17"/>
      <c r="F41" s="17"/>
      <c r="G41" s="17"/>
      <c r="H41" s="19"/>
      <c r="I41" s="20">
        <f t="shared" si="0"/>
        <v>0</v>
      </c>
      <c r="J41" s="17"/>
      <c r="K41" s="17"/>
      <c r="L41" s="17"/>
      <c r="M41" s="19"/>
      <c r="N41" s="20">
        <f t="shared" si="1"/>
        <v>0</v>
      </c>
      <c r="O41" s="19"/>
      <c r="P41" s="17"/>
      <c r="Q41" s="17"/>
      <c r="R41" s="17"/>
      <c r="S41" s="20">
        <f t="shared" si="2"/>
        <v>0</v>
      </c>
    </row>
    <row r="42" spans="2:19" ht="14.1" customHeight="1" x14ac:dyDescent="0.3">
      <c r="B42" s="127"/>
      <c r="C42" s="127"/>
      <c r="D42" s="127"/>
      <c r="E42" s="17"/>
      <c r="F42" s="17"/>
      <c r="G42" s="17"/>
      <c r="H42" s="19"/>
      <c r="I42" s="20">
        <f t="shared" si="0"/>
        <v>0</v>
      </c>
      <c r="J42" s="17"/>
      <c r="K42" s="17"/>
      <c r="L42" s="17"/>
      <c r="M42" s="19"/>
      <c r="N42" s="20">
        <f t="shared" si="1"/>
        <v>0</v>
      </c>
      <c r="O42" s="19"/>
      <c r="P42" s="17"/>
      <c r="Q42" s="17"/>
      <c r="R42" s="17"/>
      <c r="S42" s="20">
        <f t="shared" si="2"/>
        <v>0</v>
      </c>
    </row>
    <row r="43" spans="2:19" ht="14.1" customHeight="1" x14ac:dyDescent="0.3">
      <c r="B43" s="127"/>
      <c r="C43" s="127"/>
      <c r="D43" s="127"/>
      <c r="E43" s="17"/>
      <c r="F43" s="17"/>
      <c r="G43" s="17"/>
      <c r="H43" s="19"/>
      <c r="I43" s="20">
        <f t="shared" si="0"/>
        <v>0</v>
      </c>
      <c r="J43" s="17"/>
      <c r="K43" s="17"/>
      <c r="L43" s="17"/>
      <c r="M43" s="19"/>
      <c r="N43" s="20">
        <f t="shared" si="1"/>
        <v>0</v>
      </c>
      <c r="O43" s="19"/>
      <c r="P43" s="17"/>
      <c r="Q43" s="17"/>
      <c r="R43" s="17"/>
      <c r="S43" s="20">
        <f t="shared" si="2"/>
        <v>0</v>
      </c>
    </row>
    <row r="44" spans="2:19" ht="14.1" customHeight="1" x14ac:dyDescent="0.3">
      <c r="B44" s="110"/>
      <c r="C44" s="110"/>
      <c r="D44" s="110"/>
      <c r="E44" s="17"/>
      <c r="F44" s="17"/>
      <c r="G44" s="17"/>
      <c r="H44" s="19"/>
      <c r="I44" s="20">
        <f t="shared" si="0"/>
        <v>0</v>
      </c>
      <c r="J44" s="17"/>
      <c r="K44" s="17"/>
      <c r="L44" s="17"/>
      <c r="M44" s="19"/>
      <c r="N44" s="20">
        <f t="shared" si="1"/>
        <v>0</v>
      </c>
      <c r="O44" s="19"/>
      <c r="P44" s="17"/>
      <c r="Q44" s="17"/>
      <c r="R44" s="17"/>
      <c r="S44" s="20">
        <f t="shared" si="2"/>
        <v>0</v>
      </c>
    </row>
    <row r="45" spans="2:19" ht="14.1" customHeight="1" x14ac:dyDescent="0.3">
      <c r="B45" s="127"/>
      <c r="C45" s="127"/>
      <c r="D45" s="127"/>
      <c r="E45" s="17"/>
      <c r="F45" s="17"/>
      <c r="G45" s="17"/>
      <c r="H45" s="19"/>
      <c r="I45" s="20">
        <f t="shared" si="0"/>
        <v>0</v>
      </c>
      <c r="J45" s="17"/>
      <c r="K45" s="17"/>
      <c r="L45" s="17"/>
      <c r="M45" s="19"/>
      <c r="N45" s="20">
        <f t="shared" si="1"/>
        <v>0</v>
      </c>
      <c r="O45" s="19"/>
      <c r="P45" s="17"/>
      <c r="Q45" s="17"/>
      <c r="R45" s="17"/>
      <c r="S45" s="20">
        <f t="shared" si="2"/>
        <v>0</v>
      </c>
    </row>
    <row r="46" spans="2:19" ht="14.1" customHeight="1" x14ac:dyDescent="0.3">
      <c r="B46" s="127"/>
      <c r="C46" s="127"/>
      <c r="D46" s="127"/>
      <c r="E46" s="17"/>
      <c r="F46" s="17"/>
      <c r="G46" s="17"/>
      <c r="H46" s="19"/>
      <c r="I46" s="20">
        <f t="shared" si="0"/>
        <v>0</v>
      </c>
      <c r="J46" s="17"/>
      <c r="K46" s="17"/>
      <c r="L46" s="17"/>
      <c r="M46" s="19"/>
      <c r="N46" s="20">
        <f t="shared" si="1"/>
        <v>0</v>
      </c>
      <c r="O46" s="19"/>
      <c r="P46" s="17"/>
      <c r="Q46" s="17"/>
      <c r="R46" s="17"/>
      <c r="S46" s="20">
        <f t="shared" si="2"/>
        <v>0</v>
      </c>
    </row>
    <row r="47" spans="2:19" ht="14.1" customHeight="1" x14ac:dyDescent="0.3">
      <c r="B47" s="127"/>
      <c r="C47" s="127"/>
      <c r="D47" s="127"/>
      <c r="E47" s="17"/>
      <c r="F47" s="17"/>
      <c r="G47" s="17"/>
      <c r="H47" s="19"/>
      <c r="I47" s="20">
        <f t="shared" si="0"/>
        <v>0</v>
      </c>
      <c r="J47" s="17"/>
      <c r="K47" s="17"/>
      <c r="L47" s="17"/>
      <c r="M47" s="19"/>
      <c r="N47" s="20">
        <f t="shared" si="1"/>
        <v>0</v>
      </c>
      <c r="O47" s="19"/>
      <c r="P47" s="17"/>
      <c r="Q47" s="17"/>
      <c r="R47" s="17"/>
      <c r="S47" s="20">
        <f t="shared" si="2"/>
        <v>0</v>
      </c>
    </row>
    <row r="48" spans="2:19" ht="14.1" customHeight="1" x14ac:dyDescent="0.3">
      <c r="B48" s="110"/>
      <c r="C48" s="110"/>
      <c r="D48" s="110"/>
      <c r="E48" s="17"/>
      <c r="F48" s="17"/>
      <c r="G48" s="17"/>
      <c r="H48" s="19"/>
      <c r="I48" s="20">
        <f t="shared" si="0"/>
        <v>0</v>
      </c>
      <c r="J48" s="17"/>
      <c r="K48" s="17"/>
      <c r="L48" s="17"/>
      <c r="M48" s="19"/>
      <c r="N48" s="20">
        <f t="shared" si="1"/>
        <v>0</v>
      </c>
      <c r="O48" s="19"/>
      <c r="P48" s="17"/>
      <c r="Q48" s="17"/>
      <c r="R48" s="17"/>
      <c r="S48" s="20">
        <f t="shared" si="2"/>
        <v>0</v>
      </c>
    </row>
    <row r="49" spans="2:19" ht="14.1" customHeight="1" x14ac:dyDescent="0.3">
      <c r="B49" s="127"/>
      <c r="C49" s="127"/>
      <c r="D49" s="127"/>
      <c r="E49" s="17"/>
      <c r="F49" s="17"/>
      <c r="G49" s="17"/>
      <c r="H49" s="19"/>
      <c r="I49" s="20">
        <f t="shared" si="0"/>
        <v>0</v>
      </c>
      <c r="J49" s="17"/>
      <c r="K49" s="17"/>
      <c r="L49" s="17"/>
      <c r="M49" s="19"/>
      <c r="N49" s="20">
        <f t="shared" si="1"/>
        <v>0</v>
      </c>
      <c r="O49" s="19"/>
      <c r="P49" s="17"/>
      <c r="Q49" s="17"/>
      <c r="R49" s="17"/>
      <c r="S49" s="20">
        <f t="shared" si="2"/>
        <v>0</v>
      </c>
    </row>
    <row r="50" spans="2:19" ht="14.1" customHeight="1" x14ac:dyDescent="0.3">
      <c r="B50" s="127"/>
      <c r="C50" s="127"/>
      <c r="D50" s="127"/>
      <c r="E50" s="17"/>
      <c r="F50" s="17"/>
      <c r="G50" s="17"/>
      <c r="H50" s="19"/>
      <c r="I50" s="20">
        <f t="shared" si="0"/>
        <v>0</v>
      </c>
      <c r="J50" s="17"/>
      <c r="K50" s="17"/>
      <c r="L50" s="17"/>
      <c r="M50" s="19"/>
      <c r="N50" s="20">
        <f t="shared" si="1"/>
        <v>0</v>
      </c>
      <c r="O50" s="19"/>
      <c r="P50" s="17"/>
      <c r="Q50" s="17"/>
      <c r="R50" s="17"/>
      <c r="S50" s="20">
        <f t="shared" si="2"/>
        <v>0</v>
      </c>
    </row>
    <row r="51" spans="2:19" ht="14.1" customHeight="1" x14ac:dyDescent="0.3">
      <c r="B51" s="127"/>
      <c r="C51" s="127"/>
      <c r="D51" s="127"/>
      <c r="E51" s="17"/>
      <c r="F51" s="17"/>
      <c r="G51" s="17"/>
      <c r="H51" s="19"/>
      <c r="I51" s="20">
        <f t="shared" si="0"/>
        <v>0</v>
      </c>
      <c r="J51" s="17"/>
      <c r="K51" s="17"/>
      <c r="L51" s="17"/>
      <c r="M51" s="19"/>
      <c r="N51" s="20">
        <f t="shared" si="1"/>
        <v>0</v>
      </c>
      <c r="O51" s="19"/>
      <c r="P51" s="17"/>
      <c r="Q51" s="17"/>
      <c r="R51" s="17"/>
      <c r="S51" s="20">
        <f t="shared" si="2"/>
        <v>0</v>
      </c>
    </row>
    <row r="52" spans="2:19" ht="14.1" customHeight="1" x14ac:dyDescent="0.3">
      <c r="B52" s="127"/>
      <c r="C52" s="127"/>
      <c r="D52" s="127"/>
      <c r="E52" s="17"/>
      <c r="F52" s="17"/>
      <c r="G52" s="17"/>
      <c r="H52" s="19"/>
      <c r="I52" s="20">
        <f t="shared" si="0"/>
        <v>0</v>
      </c>
      <c r="J52" s="17"/>
      <c r="K52" s="17"/>
      <c r="L52" s="17"/>
      <c r="M52" s="19"/>
      <c r="N52" s="20">
        <f t="shared" si="1"/>
        <v>0</v>
      </c>
      <c r="O52" s="19"/>
      <c r="P52" s="17"/>
      <c r="Q52" s="17"/>
      <c r="R52" s="17"/>
      <c r="S52" s="20">
        <f t="shared" si="2"/>
        <v>0</v>
      </c>
    </row>
    <row r="53" spans="2:19" ht="14.1" customHeight="1" x14ac:dyDescent="0.3">
      <c r="B53" s="127"/>
      <c r="C53" s="127"/>
      <c r="D53" s="127"/>
      <c r="E53" s="17"/>
      <c r="F53" s="17"/>
      <c r="G53" s="17"/>
      <c r="H53" s="19"/>
      <c r="I53" s="20">
        <f t="shared" si="0"/>
        <v>0</v>
      </c>
      <c r="J53" s="17"/>
      <c r="K53" s="17"/>
      <c r="L53" s="17"/>
      <c r="M53" s="19"/>
      <c r="N53" s="20">
        <f t="shared" si="1"/>
        <v>0</v>
      </c>
      <c r="O53" s="19"/>
      <c r="P53" s="17"/>
      <c r="Q53" s="17"/>
      <c r="R53" s="17"/>
      <c r="S53" s="20">
        <f t="shared" si="2"/>
        <v>0</v>
      </c>
    </row>
    <row r="54" spans="2:19" ht="14.1" customHeight="1" x14ac:dyDescent="0.3">
      <c r="B54" s="127"/>
      <c r="C54" s="127"/>
      <c r="D54" s="127"/>
      <c r="E54" s="17"/>
      <c r="F54" s="17"/>
      <c r="G54" s="17"/>
      <c r="H54" s="19"/>
      <c r="I54" s="20">
        <f t="shared" si="0"/>
        <v>0</v>
      </c>
      <c r="J54" s="17"/>
      <c r="K54" s="17"/>
      <c r="L54" s="17"/>
      <c r="M54" s="19"/>
      <c r="N54" s="20">
        <f t="shared" si="1"/>
        <v>0</v>
      </c>
      <c r="O54" s="19"/>
      <c r="P54" s="17"/>
      <c r="Q54" s="17"/>
      <c r="R54" s="17"/>
      <c r="S54" s="20">
        <f t="shared" si="2"/>
        <v>0</v>
      </c>
    </row>
    <row r="55" spans="2:19" ht="14.1" customHeight="1" x14ac:dyDescent="0.3">
      <c r="B55" s="127"/>
      <c r="C55" s="127"/>
      <c r="D55" s="127"/>
      <c r="E55" s="17"/>
      <c r="F55" s="17"/>
      <c r="G55" s="17"/>
      <c r="H55" s="19"/>
      <c r="I55" s="20">
        <f t="shared" si="0"/>
        <v>0</v>
      </c>
      <c r="J55" s="17"/>
      <c r="K55" s="17"/>
      <c r="L55" s="17"/>
      <c r="M55" s="19"/>
      <c r="N55" s="20">
        <f t="shared" si="1"/>
        <v>0</v>
      </c>
      <c r="O55" s="19"/>
      <c r="P55" s="17"/>
      <c r="Q55" s="17"/>
      <c r="R55" s="17"/>
      <c r="S55" s="20">
        <f t="shared" si="2"/>
        <v>0</v>
      </c>
    </row>
    <row r="56" spans="2:19" ht="14.1" customHeight="1" x14ac:dyDescent="0.3">
      <c r="B56" s="127"/>
      <c r="C56" s="127"/>
      <c r="D56" s="127"/>
      <c r="E56" s="17"/>
      <c r="F56" s="17"/>
      <c r="G56" s="17"/>
      <c r="H56" s="19"/>
      <c r="I56" s="20">
        <f t="shared" si="0"/>
        <v>0</v>
      </c>
      <c r="J56" s="17"/>
      <c r="K56" s="17"/>
      <c r="L56" s="17"/>
      <c r="M56" s="19"/>
      <c r="N56" s="20">
        <f t="shared" si="1"/>
        <v>0</v>
      </c>
      <c r="O56" s="19"/>
      <c r="P56" s="17"/>
      <c r="Q56" s="17"/>
      <c r="R56" s="17"/>
      <c r="S56" s="20">
        <f t="shared" si="2"/>
        <v>0</v>
      </c>
    </row>
    <row r="57" spans="2:19" ht="14.1" customHeight="1" x14ac:dyDescent="0.3">
      <c r="B57" s="127"/>
      <c r="C57" s="127"/>
      <c r="D57" s="127"/>
      <c r="E57" s="17"/>
      <c r="F57" s="17"/>
      <c r="G57" s="17"/>
      <c r="H57" s="19"/>
      <c r="I57" s="20">
        <f t="shared" si="0"/>
        <v>0</v>
      </c>
      <c r="J57" s="17"/>
      <c r="K57" s="17"/>
      <c r="L57" s="17"/>
      <c r="M57" s="19"/>
      <c r="N57" s="20">
        <f t="shared" si="1"/>
        <v>0</v>
      </c>
      <c r="O57" s="19"/>
      <c r="P57" s="17"/>
      <c r="Q57" s="17"/>
      <c r="R57" s="17"/>
      <c r="S57" s="20">
        <f t="shared" si="2"/>
        <v>0</v>
      </c>
    </row>
    <row r="58" spans="2:19" ht="14.1" customHeight="1" x14ac:dyDescent="0.3">
      <c r="B58" s="127"/>
      <c r="C58" s="127"/>
      <c r="D58" s="127"/>
      <c r="E58" s="17"/>
      <c r="F58" s="17"/>
      <c r="G58" s="17"/>
      <c r="H58" s="19"/>
      <c r="I58" s="20">
        <f t="shared" si="0"/>
        <v>0</v>
      </c>
      <c r="J58" s="17"/>
      <c r="K58" s="17"/>
      <c r="L58" s="17"/>
      <c r="M58" s="19"/>
      <c r="N58" s="20">
        <f t="shared" si="1"/>
        <v>0</v>
      </c>
      <c r="O58" s="19"/>
      <c r="P58" s="17"/>
      <c r="Q58" s="17"/>
      <c r="R58" s="17"/>
      <c r="S58" s="20">
        <f t="shared" si="2"/>
        <v>0</v>
      </c>
    </row>
    <row r="59" spans="2:19" ht="14.1" customHeight="1" x14ac:dyDescent="0.3">
      <c r="B59" s="127"/>
      <c r="C59" s="127"/>
      <c r="D59" s="127"/>
      <c r="E59" s="17"/>
      <c r="F59" s="17"/>
      <c r="G59" s="17"/>
      <c r="H59" s="19"/>
      <c r="I59" s="20">
        <f t="shared" si="0"/>
        <v>0</v>
      </c>
      <c r="J59" s="17"/>
      <c r="K59" s="17"/>
      <c r="L59" s="17"/>
      <c r="M59" s="19"/>
      <c r="N59" s="20">
        <f t="shared" si="1"/>
        <v>0</v>
      </c>
      <c r="O59" s="19"/>
      <c r="P59" s="17"/>
      <c r="Q59" s="17"/>
      <c r="R59" s="17"/>
      <c r="S59" s="20">
        <f t="shared" si="2"/>
        <v>0</v>
      </c>
    </row>
    <row r="60" spans="2:19" ht="14.1" customHeight="1" x14ac:dyDescent="0.3">
      <c r="B60" s="127"/>
      <c r="C60" s="127"/>
      <c r="D60" s="127"/>
      <c r="E60" s="17"/>
      <c r="F60" s="17"/>
      <c r="G60" s="17"/>
      <c r="H60" s="19"/>
      <c r="I60" s="20">
        <f t="shared" si="0"/>
        <v>0</v>
      </c>
      <c r="J60" s="17"/>
      <c r="K60" s="17"/>
      <c r="L60" s="17"/>
      <c r="M60" s="19"/>
      <c r="N60" s="20">
        <f t="shared" si="1"/>
        <v>0</v>
      </c>
      <c r="O60" s="19"/>
      <c r="P60" s="17"/>
      <c r="Q60" s="17"/>
      <c r="R60" s="17"/>
      <c r="S60" s="20">
        <f t="shared" si="2"/>
        <v>0</v>
      </c>
    </row>
    <row r="61" spans="2:19" ht="14.1" customHeight="1" x14ac:dyDescent="0.3">
      <c r="B61" s="127"/>
      <c r="C61" s="127"/>
      <c r="D61" s="127"/>
      <c r="E61" s="17"/>
      <c r="F61" s="17"/>
      <c r="G61" s="17"/>
      <c r="H61" s="19"/>
      <c r="I61" s="20">
        <f t="shared" si="0"/>
        <v>0</v>
      </c>
      <c r="J61" s="17"/>
      <c r="K61" s="17"/>
      <c r="L61" s="17"/>
      <c r="M61" s="19"/>
      <c r="N61" s="20">
        <f t="shared" si="1"/>
        <v>0</v>
      </c>
      <c r="O61" s="19"/>
      <c r="P61" s="17"/>
      <c r="Q61" s="17"/>
      <c r="R61" s="17"/>
      <c r="S61" s="20">
        <f t="shared" si="2"/>
        <v>0</v>
      </c>
    </row>
    <row r="62" spans="2:19" ht="14.1" customHeight="1" x14ac:dyDescent="0.3">
      <c r="B62" s="127"/>
      <c r="C62" s="127"/>
      <c r="D62" s="127"/>
      <c r="E62" s="17"/>
      <c r="F62" s="17"/>
      <c r="G62" s="17"/>
      <c r="H62" s="19"/>
      <c r="I62" s="20">
        <f t="shared" si="0"/>
        <v>0</v>
      </c>
      <c r="J62" s="17"/>
      <c r="K62" s="17"/>
      <c r="L62" s="17"/>
      <c r="M62" s="19"/>
      <c r="N62" s="20">
        <f t="shared" si="1"/>
        <v>0</v>
      </c>
      <c r="O62" s="19"/>
      <c r="P62" s="17"/>
      <c r="Q62" s="17"/>
      <c r="R62" s="17"/>
      <c r="S62" s="20">
        <f t="shared" si="2"/>
        <v>0</v>
      </c>
    </row>
    <row r="63" spans="2:19" ht="14.1" customHeight="1" x14ac:dyDescent="0.3">
      <c r="B63" s="127"/>
      <c r="C63" s="127"/>
      <c r="D63" s="127"/>
      <c r="E63" s="17"/>
      <c r="F63" s="17"/>
      <c r="G63" s="17"/>
      <c r="H63" s="19"/>
      <c r="I63" s="20">
        <f t="shared" si="0"/>
        <v>0</v>
      </c>
      <c r="J63" s="17"/>
      <c r="K63" s="17"/>
      <c r="L63" s="17"/>
      <c r="M63" s="19"/>
      <c r="N63" s="20">
        <f t="shared" si="1"/>
        <v>0</v>
      </c>
      <c r="O63" s="19"/>
      <c r="P63" s="17"/>
      <c r="Q63" s="17"/>
      <c r="R63" s="17"/>
      <c r="S63" s="20">
        <f t="shared" si="2"/>
        <v>0</v>
      </c>
    </row>
    <row r="64" spans="2:19" ht="14.1" customHeight="1" x14ac:dyDescent="0.3">
      <c r="B64" s="110"/>
      <c r="C64" s="110"/>
      <c r="D64" s="110"/>
      <c r="E64" s="17"/>
      <c r="F64" s="17"/>
      <c r="G64" s="17"/>
      <c r="H64" s="19"/>
      <c r="I64" s="20">
        <f t="shared" si="0"/>
        <v>0</v>
      </c>
      <c r="J64" s="17"/>
      <c r="K64" s="17"/>
      <c r="L64" s="17"/>
      <c r="M64" s="19"/>
      <c r="N64" s="20">
        <f t="shared" si="1"/>
        <v>0</v>
      </c>
      <c r="O64" s="19"/>
      <c r="P64" s="17"/>
      <c r="Q64" s="17"/>
      <c r="R64" s="17"/>
      <c r="S64" s="20">
        <f t="shared" si="2"/>
        <v>0</v>
      </c>
    </row>
    <row r="65" spans="2:19" ht="14.1" customHeight="1" x14ac:dyDescent="0.3">
      <c r="B65" s="127"/>
      <c r="C65" s="127"/>
      <c r="D65" s="127"/>
      <c r="E65" s="17"/>
      <c r="F65" s="17"/>
      <c r="G65" s="17"/>
      <c r="H65" s="19"/>
      <c r="I65" s="20">
        <f t="shared" si="0"/>
        <v>0</v>
      </c>
      <c r="J65" s="17"/>
      <c r="K65" s="17"/>
      <c r="L65" s="17"/>
      <c r="M65" s="19"/>
      <c r="N65" s="20">
        <f t="shared" si="1"/>
        <v>0</v>
      </c>
      <c r="O65" s="19"/>
      <c r="P65" s="17"/>
      <c r="Q65" s="17"/>
      <c r="R65" s="17"/>
      <c r="S65" s="20">
        <f t="shared" si="2"/>
        <v>0</v>
      </c>
    </row>
    <row r="66" spans="2:19" ht="14.1" customHeight="1" x14ac:dyDescent="0.3">
      <c r="B66" s="127"/>
      <c r="C66" s="127"/>
      <c r="D66" s="127"/>
      <c r="E66" s="17"/>
      <c r="F66" s="17"/>
      <c r="G66" s="17"/>
      <c r="H66" s="19"/>
      <c r="I66" s="20">
        <f t="shared" si="0"/>
        <v>0</v>
      </c>
      <c r="J66" s="17"/>
      <c r="K66" s="17"/>
      <c r="L66" s="17"/>
      <c r="M66" s="19"/>
      <c r="N66" s="20">
        <f t="shared" si="1"/>
        <v>0</v>
      </c>
      <c r="O66" s="19"/>
      <c r="P66" s="17"/>
      <c r="Q66" s="17"/>
      <c r="R66" s="17"/>
      <c r="S66" s="20">
        <f t="shared" si="2"/>
        <v>0</v>
      </c>
    </row>
    <row r="67" spans="2:19" ht="14.1" customHeight="1" x14ac:dyDescent="0.3">
      <c r="B67" s="127"/>
      <c r="C67" s="127"/>
      <c r="D67" s="127"/>
      <c r="E67" s="17"/>
      <c r="F67" s="17"/>
      <c r="G67" s="17"/>
      <c r="H67" s="19"/>
      <c r="I67" s="20">
        <f t="shared" si="0"/>
        <v>0</v>
      </c>
      <c r="J67" s="17"/>
      <c r="K67" s="17"/>
      <c r="L67" s="17"/>
      <c r="M67" s="19"/>
      <c r="N67" s="20">
        <f t="shared" si="1"/>
        <v>0</v>
      </c>
      <c r="O67" s="19"/>
      <c r="P67" s="17"/>
      <c r="Q67" s="17"/>
      <c r="R67" s="17"/>
      <c r="S67" s="20">
        <f t="shared" si="2"/>
        <v>0</v>
      </c>
    </row>
    <row r="68" spans="2:19" ht="14.1" customHeight="1" x14ac:dyDescent="0.3">
      <c r="B68" s="110"/>
      <c r="C68" s="110"/>
      <c r="D68" s="110"/>
      <c r="E68" s="17"/>
      <c r="F68" s="17"/>
      <c r="G68" s="17"/>
      <c r="H68" s="19"/>
      <c r="I68" s="20">
        <f t="shared" si="0"/>
        <v>0</v>
      </c>
      <c r="J68" s="17"/>
      <c r="K68" s="17"/>
      <c r="L68" s="17"/>
      <c r="M68" s="19"/>
      <c r="N68" s="20">
        <f t="shared" si="1"/>
        <v>0</v>
      </c>
      <c r="O68" s="19"/>
      <c r="P68" s="17"/>
      <c r="Q68" s="17"/>
      <c r="R68" s="17"/>
      <c r="S68" s="20">
        <f t="shared" si="2"/>
        <v>0</v>
      </c>
    </row>
    <row r="69" spans="2:19" ht="14.1" customHeight="1" x14ac:dyDescent="0.3">
      <c r="B69" s="127"/>
      <c r="C69" s="127"/>
      <c r="D69" s="127"/>
      <c r="E69" s="17"/>
      <c r="F69" s="17"/>
      <c r="G69" s="17"/>
      <c r="H69" s="19"/>
      <c r="I69" s="20">
        <f t="shared" si="0"/>
        <v>0</v>
      </c>
      <c r="J69" s="17"/>
      <c r="K69" s="17"/>
      <c r="L69" s="17"/>
      <c r="M69" s="19"/>
      <c r="N69" s="20">
        <f t="shared" si="1"/>
        <v>0</v>
      </c>
      <c r="O69" s="19"/>
      <c r="P69" s="17"/>
      <c r="Q69" s="17"/>
      <c r="R69" s="17"/>
      <c r="S69" s="20">
        <f t="shared" si="2"/>
        <v>0</v>
      </c>
    </row>
    <row r="70" spans="2:19" ht="14.1" customHeight="1" x14ac:dyDescent="0.3">
      <c r="B70" s="127"/>
      <c r="C70" s="127"/>
      <c r="D70" s="127"/>
      <c r="E70" s="17"/>
      <c r="F70" s="17"/>
      <c r="G70" s="17"/>
      <c r="H70" s="19"/>
      <c r="I70" s="20">
        <f t="shared" si="0"/>
        <v>0</v>
      </c>
      <c r="J70" s="17"/>
      <c r="K70" s="17"/>
      <c r="L70" s="17"/>
      <c r="M70" s="19"/>
      <c r="N70" s="20">
        <f t="shared" si="1"/>
        <v>0</v>
      </c>
      <c r="O70" s="19"/>
      <c r="P70" s="17"/>
      <c r="Q70" s="17"/>
      <c r="R70" s="17"/>
      <c r="S70" s="20">
        <f t="shared" si="2"/>
        <v>0</v>
      </c>
    </row>
    <row r="71" spans="2:19" ht="14.1" customHeight="1" x14ac:dyDescent="0.3">
      <c r="B71" s="127"/>
      <c r="C71" s="127"/>
      <c r="D71" s="127"/>
      <c r="E71" s="17"/>
      <c r="F71" s="17"/>
      <c r="G71" s="17"/>
      <c r="H71" s="19"/>
      <c r="I71" s="20">
        <f t="shared" si="0"/>
        <v>0</v>
      </c>
      <c r="J71" s="17"/>
      <c r="K71" s="17"/>
      <c r="L71" s="17"/>
      <c r="M71" s="19"/>
      <c r="N71" s="20">
        <f t="shared" si="1"/>
        <v>0</v>
      </c>
      <c r="O71" s="19"/>
      <c r="P71" s="17"/>
      <c r="Q71" s="17"/>
      <c r="R71" s="17"/>
      <c r="S71" s="20">
        <f t="shared" si="2"/>
        <v>0</v>
      </c>
    </row>
    <row r="72" spans="2:19" ht="14.1" customHeight="1" x14ac:dyDescent="0.3">
      <c r="B72" s="127"/>
      <c r="C72" s="127"/>
      <c r="D72" s="127"/>
      <c r="E72" s="17"/>
      <c r="F72" s="17"/>
      <c r="G72" s="17"/>
      <c r="H72" s="19"/>
      <c r="I72" s="20">
        <f t="shared" si="0"/>
        <v>0</v>
      </c>
      <c r="J72" s="17"/>
      <c r="K72" s="17"/>
      <c r="L72" s="17"/>
      <c r="M72" s="19"/>
      <c r="N72" s="20">
        <f t="shared" si="1"/>
        <v>0</v>
      </c>
      <c r="O72" s="19"/>
      <c r="P72" s="17"/>
      <c r="Q72" s="17"/>
      <c r="R72" s="17"/>
      <c r="S72" s="20">
        <f t="shared" si="2"/>
        <v>0</v>
      </c>
    </row>
    <row r="73" spans="2:19" ht="14.1" customHeight="1" x14ac:dyDescent="0.3">
      <c r="B73" s="127"/>
      <c r="C73" s="127"/>
      <c r="D73" s="127"/>
      <c r="E73" s="17"/>
      <c r="F73" s="17"/>
      <c r="G73" s="17"/>
      <c r="H73" s="19"/>
      <c r="I73" s="20">
        <f t="shared" si="0"/>
        <v>0</v>
      </c>
      <c r="J73" s="17"/>
      <c r="K73" s="17"/>
      <c r="L73" s="17"/>
      <c r="M73" s="19"/>
      <c r="N73" s="20">
        <f t="shared" si="1"/>
        <v>0</v>
      </c>
      <c r="O73" s="19"/>
      <c r="P73" s="17"/>
      <c r="Q73" s="17"/>
      <c r="R73" s="17"/>
      <c r="S73" s="20">
        <f t="shared" si="2"/>
        <v>0</v>
      </c>
    </row>
    <row r="74" spans="2:19" ht="14.1" customHeight="1" x14ac:dyDescent="0.3">
      <c r="B74" s="127"/>
      <c r="C74" s="127"/>
      <c r="D74" s="127"/>
      <c r="E74" s="17"/>
      <c r="F74" s="17"/>
      <c r="G74" s="17"/>
      <c r="H74" s="19"/>
      <c r="I74" s="20">
        <f t="shared" si="0"/>
        <v>0</v>
      </c>
      <c r="J74" s="17"/>
      <c r="K74" s="17"/>
      <c r="L74" s="17"/>
      <c r="M74" s="19"/>
      <c r="N74" s="20">
        <f t="shared" si="1"/>
        <v>0</v>
      </c>
      <c r="O74" s="19"/>
      <c r="P74" s="17"/>
      <c r="Q74" s="17"/>
      <c r="R74" s="17"/>
      <c r="S74" s="20">
        <f t="shared" si="2"/>
        <v>0</v>
      </c>
    </row>
    <row r="75" spans="2:19" ht="14.1" customHeight="1" x14ac:dyDescent="0.3">
      <c r="B75" s="127"/>
      <c r="C75" s="127"/>
      <c r="D75" s="127"/>
      <c r="E75" s="17"/>
      <c r="F75" s="17"/>
      <c r="G75" s="17"/>
      <c r="H75" s="19"/>
      <c r="I75" s="20">
        <f t="shared" si="0"/>
        <v>0</v>
      </c>
      <c r="J75" s="17"/>
      <c r="K75" s="17"/>
      <c r="L75" s="17"/>
      <c r="M75" s="19"/>
      <c r="N75" s="20">
        <f t="shared" si="1"/>
        <v>0</v>
      </c>
      <c r="O75" s="19"/>
      <c r="P75" s="17"/>
      <c r="Q75" s="17"/>
      <c r="R75" s="17"/>
      <c r="S75" s="20">
        <f t="shared" si="2"/>
        <v>0</v>
      </c>
    </row>
    <row r="76" spans="2:19" ht="14.1" customHeight="1" x14ac:dyDescent="0.3">
      <c r="B76" s="127"/>
      <c r="C76" s="127"/>
      <c r="D76" s="127"/>
      <c r="E76" s="17"/>
      <c r="F76" s="17"/>
      <c r="G76" s="17"/>
      <c r="H76" s="19"/>
      <c r="I76" s="20">
        <f t="shared" si="0"/>
        <v>0</v>
      </c>
      <c r="J76" s="17"/>
      <c r="K76" s="17"/>
      <c r="L76" s="17"/>
      <c r="M76" s="19"/>
      <c r="N76" s="20">
        <f t="shared" si="1"/>
        <v>0</v>
      </c>
      <c r="O76" s="19"/>
      <c r="P76" s="17"/>
      <c r="Q76" s="17"/>
      <c r="R76" s="17"/>
      <c r="S76" s="20">
        <f t="shared" si="2"/>
        <v>0</v>
      </c>
    </row>
    <row r="77" spans="2:19" ht="14.1" customHeight="1" x14ac:dyDescent="0.3">
      <c r="B77" s="127"/>
      <c r="C77" s="127"/>
      <c r="D77" s="127"/>
      <c r="E77" s="17"/>
      <c r="F77" s="17"/>
      <c r="G77" s="17"/>
      <c r="H77" s="19"/>
      <c r="I77" s="20">
        <f t="shared" si="0"/>
        <v>0</v>
      </c>
      <c r="J77" s="17"/>
      <c r="K77" s="17"/>
      <c r="L77" s="17"/>
      <c r="M77" s="19"/>
      <c r="N77" s="20">
        <f t="shared" si="1"/>
        <v>0</v>
      </c>
      <c r="O77" s="19"/>
      <c r="P77" s="17"/>
      <c r="Q77" s="17"/>
      <c r="R77" s="17"/>
      <c r="S77" s="20">
        <f t="shared" si="2"/>
        <v>0</v>
      </c>
    </row>
    <row r="78" spans="2:19" ht="14.1" customHeight="1" x14ac:dyDescent="0.3">
      <c r="B78" s="127"/>
      <c r="C78" s="127"/>
      <c r="D78" s="127"/>
      <c r="E78" s="17"/>
      <c r="F78" s="17"/>
      <c r="G78" s="17"/>
      <c r="H78" s="19"/>
      <c r="I78" s="20">
        <f t="shared" si="0"/>
        <v>0</v>
      </c>
      <c r="J78" s="17"/>
      <c r="K78" s="17"/>
      <c r="L78" s="17"/>
      <c r="M78" s="19"/>
      <c r="N78" s="20">
        <f t="shared" si="1"/>
        <v>0</v>
      </c>
      <c r="O78" s="19"/>
      <c r="P78" s="17"/>
      <c r="Q78" s="17"/>
      <c r="R78" s="17"/>
      <c r="S78" s="20">
        <f t="shared" si="2"/>
        <v>0</v>
      </c>
    </row>
    <row r="79" spans="2:19" ht="14.1" customHeight="1" x14ac:dyDescent="0.3">
      <c r="B79" s="127"/>
      <c r="C79" s="127"/>
      <c r="D79" s="127"/>
      <c r="E79" s="17"/>
      <c r="F79" s="17"/>
      <c r="G79" s="17"/>
      <c r="H79" s="19"/>
      <c r="I79" s="20">
        <f t="shared" si="0"/>
        <v>0</v>
      </c>
      <c r="J79" s="17"/>
      <c r="K79" s="17"/>
      <c r="L79" s="17"/>
      <c r="M79" s="19"/>
      <c r="N79" s="20">
        <f t="shared" si="1"/>
        <v>0</v>
      </c>
      <c r="O79" s="19"/>
      <c r="P79" s="17"/>
      <c r="Q79" s="17"/>
      <c r="R79" s="17"/>
      <c r="S79" s="20">
        <f t="shared" si="2"/>
        <v>0</v>
      </c>
    </row>
    <row r="80" spans="2:19" ht="14.1" customHeight="1" x14ac:dyDescent="0.3">
      <c r="B80" s="127"/>
      <c r="C80" s="127"/>
      <c r="D80" s="127"/>
      <c r="E80" s="17"/>
      <c r="F80" s="17"/>
      <c r="G80" s="17"/>
      <c r="H80" s="19"/>
      <c r="I80" s="20">
        <f t="shared" si="0"/>
        <v>0</v>
      </c>
      <c r="J80" s="17"/>
      <c r="K80" s="17"/>
      <c r="L80" s="17"/>
      <c r="M80" s="19"/>
      <c r="N80" s="20">
        <f t="shared" si="1"/>
        <v>0</v>
      </c>
      <c r="O80" s="19"/>
      <c r="P80" s="17"/>
      <c r="Q80" s="17"/>
      <c r="R80" s="17"/>
      <c r="S80" s="20">
        <f t="shared" si="2"/>
        <v>0</v>
      </c>
    </row>
    <row r="81" spans="2:19" ht="14.1" customHeight="1" x14ac:dyDescent="0.3">
      <c r="B81" s="127"/>
      <c r="C81" s="127"/>
      <c r="D81" s="127"/>
      <c r="E81" s="17"/>
      <c r="F81" s="17"/>
      <c r="G81" s="17"/>
      <c r="H81" s="19"/>
      <c r="I81" s="20">
        <f t="shared" si="0"/>
        <v>0</v>
      </c>
      <c r="J81" s="17"/>
      <c r="K81" s="17"/>
      <c r="L81" s="17"/>
      <c r="M81" s="19"/>
      <c r="N81" s="20">
        <f t="shared" si="1"/>
        <v>0</v>
      </c>
      <c r="O81" s="19"/>
      <c r="P81" s="17"/>
      <c r="Q81" s="17"/>
      <c r="R81" s="17"/>
      <c r="S81" s="20">
        <f t="shared" si="2"/>
        <v>0</v>
      </c>
    </row>
    <row r="82" spans="2:19" ht="14.1" customHeight="1" x14ac:dyDescent="0.3">
      <c r="B82" s="127"/>
      <c r="C82" s="127"/>
      <c r="D82" s="127"/>
      <c r="E82" s="17"/>
      <c r="F82" s="17"/>
      <c r="G82" s="17"/>
      <c r="H82" s="19"/>
      <c r="I82" s="20">
        <f t="shared" si="0"/>
        <v>0</v>
      </c>
      <c r="J82" s="17"/>
      <c r="K82" s="17"/>
      <c r="L82" s="17"/>
      <c r="M82" s="19"/>
      <c r="N82" s="20">
        <f t="shared" si="1"/>
        <v>0</v>
      </c>
      <c r="O82" s="19"/>
      <c r="P82" s="17"/>
      <c r="Q82" s="17"/>
      <c r="R82" s="17"/>
      <c r="S82" s="20">
        <f t="shared" si="2"/>
        <v>0</v>
      </c>
    </row>
    <row r="83" spans="2:19" ht="14.1" customHeight="1" x14ac:dyDescent="0.3">
      <c r="B83" s="127"/>
      <c r="C83" s="127"/>
      <c r="D83" s="127"/>
      <c r="E83" s="17"/>
      <c r="F83" s="17"/>
      <c r="G83" s="17"/>
      <c r="H83" s="19"/>
      <c r="I83" s="20">
        <f t="shared" si="0"/>
        <v>0</v>
      </c>
      <c r="J83" s="17"/>
      <c r="K83" s="17"/>
      <c r="L83" s="17"/>
      <c r="M83" s="19"/>
      <c r="N83" s="20">
        <f t="shared" si="1"/>
        <v>0</v>
      </c>
      <c r="O83" s="19"/>
      <c r="P83" s="17"/>
      <c r="Q83" s="17"/>
      <c r="R83" s="17"/>
      <c r="S83" s="20">
        <f t="shared" si="2"/>
        <v>0</v>
      </c>
    </row>
    <row r="84" spans="2:19" ht="14.1" customHeight="1" x14ac:dyDescent="0.3">
      <c r="B84" s="127"/>
      <c r="C84" s="127"/>
      <c r="D84" s="127"/>
      <c r="E84" s="17"/>
      <c r="F84" s="17"/>
      <c r="G84" s="17"/>
      <c r="H84" s="19"/>
      <c r="I84" s="20">
        <f t="shared" si="0"/>
        <v>0</v>
      </c>
      <c r="J84" s="17"/>
      <c r="K84" s="17"/>
      <c r="L84" s="17"/>
      <c r="M84" s="19"/>
      <c r="N84" s="20">
        <f t="shared" si="1"/>
        <v>0</v>
      </c>
      <c r="O84" s="19"/>
      <c r="P84" s="17"/>
      <c r="Q84" s="17"/>
      <c r="R84" s="17"/>
      <c r="S84" s="20">
        <f t="shared" si="2"/>
        <v>0</v>
      </c>
    </row>
    <row r="85" spans="2:19" ht="14.1" customHeight="1" x14ac:dyDescent="0.3">
      <c r="B85" s="127"/>
      <c r="C85" s="127"/>
      <c r="D85" s="127"/>
      <c r="E85" s="17"/>
      <c r="F85" s="17"/>
      <c r="G85" s="17"/>
      <c r="H85" s="19"/>
      <c r="I85" s="20">
        <f t="shared" si="0"/>
        <v>0</v>
      </c>
      <c r="J85" s="17"/>
      <c r="K85" s="17"/>
      <c r="L85" s="17"/>
      <c r="M85" s="19"/>
      <c r="N85" s="20">
        <f t="shared" si="1"/>
        <v>0</v>
      </c>
      <c r="O85" s="19"/>
      <c r="P85" s="17"/>
      <c r="Q85" s="17"/>
      <c r="R85" s="17"/>
      <c r="S85" s="20">
        <f t="shared" si="2"/>
        <v>0</v>
      </c>
    </row>
    <row r="86" spans="2:19" ht="14.1" customHeight="1" x14ac:dyDescent="0.3">
      <c r="B86" s="127"/>
      <c r="C86" s="127"/>
      <c r="D86" s="127"/>
      <c r="E86" s="17"/>
      <c r="F86" s="17"/>
      <c r="G86" s="17"/>
      <c r="H86" s="19"/>
      <c r="I86" s="20">
        <f t="shared" si="0"/>
        <v>0</v>
      </c>
      <c r="J86" s="17"/>
      <c r="K86" s="17"/>
      <c r="L86" s="17"/>
      <c r="M86" s="19"/>
      <c r="N86" s="20">
        <f t="shared" si="1"/>
        <v>0</v>
      </c>
      <c r="O86" s="19"/>
      <c r="P86" s="17"/>
      <c r="Q86" s="17"/>
      <c r="R86" s="17"/>
      <c r="S86" s="20">
        <f t="shared" si="2"/>
        <v>0</v>
      </c>
    </row>
    <row r="87" spans="2:19" ht="14.1" customHeight="1" x14ac:dyDescent="0.3">
      <c r="B87" s="110"/>
      <c r="C87" s="110"/>
      <c r="D87" s="110"/>
      <c r="E87" s="17"/>
      <c r="F87" s="17"/>
      <c r="G87" s="17"/>
      <c r="H87" s="19"/>
      <c r="I87" s="20">
        <f t="shared" si="0"/>
        <v>0</v>
      </c>
      <c r="J87" s="17"/>
      <c r="K87" s="17"/>
      <c r="L87" s="17"/>
      <c r="M87" s="19"/>
      <c r="N87" s="20">
        <f t="shared" si="1"/>
        <v>0</v>
      </c>
      <c r="O87" s="19"/>
      <c r="P87" s="17"/>
      <c r="Q87" s="17"/>
      <c r="R87" s="17"/>
      <c r="S87" s="20">
        <f t="shared" si="2"/>
        <v>0</v>
      </c>
    </row>
    <row r="88" spans="2:19" ht="14.1" customHeight="1" x14ac:dyDescent="0.3">
      <c r="B88" s="127"/>
      <c r="C88" s="127"/>
      <c r="D88" s="127"/>
      <c r="E88" s="17"/>
      <c r="F88" s="17"/>
      <c r="G88" s="17"/>
      <c r="H88" s="19"/>
      <c r="I88" s="20">
        <f t="shared" si="0"/>
        <v>0</v>
      </c>
      <c r="J88" s="17"/>
      <c r="K88" s="17"/>
      <c r="L88" s="17"/>
      <c r="M88" s="19"/>
      <c r="N88" s="20">
        <f t="shared" si="1"/>
        <v>0</v>
      </c>
      <c r="O88" s="19"/>
      <c r="P88" s="17"/>
      <c r="Q88" s="17"/>
      <c r="R88" s="17"/>
      <c r="S88" s="20">
        <f t="shared" si="2"/>
        <v>0</v>
      </c>
    </row>
    <row r="89" spans="2:19" ht="14.1" customHeight="1" x14ac:dyDescent="0.3">
      <c r="B89" s="127"/>
      <c r="C89" s="127"/>
      <c r="D89" s="127"/>
      <c r="E89" s="17"/>
      <c r="F89" s="17"/>
      <c r="G89" s="17"/>
      <c r="H89" s="19"/>
      <c r="I89" s="20">
        <f t="shared" si="0"/>
        <v>0</v>
      </c>
      <c r="J89" s="17"/>
      <c r="K89" s="17"/>
      <c r="L89" s="17"/>
      <c r="M89" s="19"/>
      <c r="N89" s="20">
        <f t="shared" si="1"/>
        <v>0</v>
      </c>
      <c r="O89" s="19"/>
      <c r="P89" s="17"/>
      <c r="Q89" s="17"/>
      <c r="R89" s="17"/>
      <c r="S89" s="20">
        <f t="shared" si="2"/>
        <v>0</v>
      </c>
    </row>
    <row r="90" spans="2:19" ht="14.1" customHeight="1" x14ac:dyDescent="0.3">
      <c r="B90" s="127"/>
      <c r="C90" s="127"/>
      <c r="D90" s="127"/>
      <c r="E90" s="17"/>
      <c r="F90" s="17"/>
      <c r="G90" s="17"/>
      <c r="H90" s="19"/>
      <c r="I90" s="20">
        <f t="shared" si="0"/>
        <v>0</v>
      </c>
      <c r="J90" s="17"/>
      <c r="K90" s="17"/>
      <c r="L90" s="17"/>
      <c r="M90" s="19"/>
      <c r="N90" s="20">
        <f t="shared" si="1"/>
        <v>0</v>
      </c>
      <c r="O90" s="19"/>
      <c r="P90" s="17"/>
      <c r="Q90" s="17"/>
      <c r="R90" s="17"/>
      <c r="S90" s="20">
        <f t="shared" si="2"/>
        <v>0</v>
      </c>
    </row>
    <row r="91" spans="2:19" ht="14.1" customHeight="1" x14ac:dyDescent="0.3">
      <c r="B91" s="127"/>
      <c r="C91" s="127"/>
      <c r="D91" s="127"/>
      <c r="E91" s="17"/>
      <c r="F91" s="17"/>
      <c r="G91" s="17"/>
      <c r="H91" s="19"/>
      <c r="I91" s="20">
        <f t="shared" si="0"/>
        <v>0</v>
      </c>
      <c r="J91" s="17"/>
      <c r="K91" s="17"/>
      <c r="L91" s="17"/>
      <c r="M91" s="19"/>
      <c r="N91" s="20">
        <f t="shared" si="1"/>
        <v>0</v>
      </c>
      <c r="O91" s="19"/>
      <c r="P91" s="17"/>
      <c r="Q91" s="17"/>
      <c r="R91" s="17"/>
      <c r="S91" s="20">
        <f t="shared" si="2"/>
        <v>0</v>
      </c>
    </row>
    <row r="92" spans="2:19" ht="14.1" customHeight="1" x14ac:dyDescent="0.3">
      <c r="B92" s="127"/>
      <c r="C92" s="127"/>
      <c r="D92" s="127"/>
      <c r="E92" s="17"/>
      <c r="F92" s="17"/>
      <c r="G92" s="17"/>
      <c r="H92" s="19"/>
      <c r="I92" s="20">
        <f t="shared" si="0"/>
        <v>0</v>
      </c>
      <c r="J92" s="17"/>
      <c r="K92" s="17"/>
      <c r="L92" s="17"/>
      <c r="M92" s="19"/>
      <c r="N92" s="20">
        <f t="shared" si="1"/>
        <v>0</v>
      </c>
      <c r="O92" s="19"/>
      <c r="P92" s="17"/>
      <c r="Q92" s="17"/>
      <c r="R92" s="17"/>
      <c r="S92" s="20">
        <f t="shared" si="2"/>
        <v>0</v>
      </c>
    </row>
    <row r="93" spans="2:19" ht="14.1" customHeight="1" x14ac:dyDescent="0.3">
      <c r="B93" s="127"/>
      <c r="C93" s="127"/>
      <c r="D93" s="127"/>
      <c r="E93" s="17"/>
      <c r="F93" s="17"/>
      <c r="G93" s="17"/>
      <c r="H93" s="19"/>
      <c r="I93" s="20">
        <f t="shared" si="0"/>
        <v>0</v>
      </c>
      <c r="J93" s="17"/>
      <c r="K93" s="17"/>
      <c r="L93" s="17"/>
      <c r="M93" s="19"/>
      <c r="N93" s="20">
        <f t="shared" si="1"/>
        <v>0</v>
      </c>
      <c r="O93" s="19"/>
      <c r="P93" s="17"/>
      <c r="Q93" s="17"/>
      <c r="R93" s="17"/>
      <c r="S93" s="20">
        <f t="shared" si="2"/>
        <v>0</v>
      </c>
    </row>
    <row r="94" spans="2:19" ht="14.1" customHeight="1" x14ac:dyDescent="0.3">
      <c r="B94" s="127"/>
      <c r="C94" s="127"/>
      <c r="D94" s="127"/>
      <c r="E94" s="17"/>
      <c r="F94" s="17"/>
      <c r="G94" s="17"/>
      <c r="H94" s="19"/>
      <c r="I94" s="20">
        <f t="shared" si="0"/>
        <v>0</v>
      </c>
      <c r="J94" s="17"/>
      <c r="K94" s="17"/>
      <c r="L94" s="17"/>
      <c r="M94" s="19"/>
      <c r="N94" s="20">
        <f t="shared" si="1"/>
        <v>0</v>
      </c>
      <c r="O94" s="19"/>
      <c r="P94" s="17"/>
      <c r="Q94" s="17"/>
      <c r="R94" s="17"/>
      <c r="S94" s="20">
        <f t="shared" si="2"/>
        <v>0</v>
      </c>
    </row>
    <row r="95" spans="2:19" ht="14.1" customHeight="1" x14ac:dyDescent="0.3">
      <c r="B95" s="127"/>
      <c r="C95" s="127"/>
      <c r="D95" s="127"/>
      <c r="E95" s="17"/>
      <c r="F95" s="17"/>
      <c r="G95" s="17"/>
      <c r="H95" s="19"/>
      <c r="I95" s="20">
        <f t="shared" si="0"/>
        <v>0</v>
      </c>
      <c r="J95" s="17"/>
      <c r="K95" s="17"/>
      <c r="L95" s="17"/>
      <c r="M95" s="19"/>
      <c r="N95" s="20">
        <f t="shared" si="1"/>
        <v>0</v>
      </c>
      <c r="O95" s="19"/>
      <c r="P95" s="17"/>
      <c r="Q95" s="17"/>
      <c r="R95" s="17"/>
      <c r="S95" s="20">
        <f t="shared" si="2"/>
        <v>0</v>
      </c>
    </row>
    <row r="96" spans="2:19" ht="14.1" customHeight="1" x14ac:dyDescent="0.3">
      <c r="B96" s="127"/>
      <c r="C96" s="127"/>
      <c r="D96" s="127"/>
      <c r="E96" s="17"/>
      <c r="F96" s="17"/>
      <c r="G96" s="17"/>
      <c r="H96" s="19"/>
      <c r="I96" s="20">
        <f t="shared" si="0"/>
        <v>0</v>
      </c>
      <c r="J96" s="17"/>
      <c r="K96" s="17"/>
      <c r="L96" s="17"/>
      <c r="M96" s="19"/>
      <c r="N96" s="20">
        <f t="shared" si="1"/>
        <v>0</v>
      </c>
      <c r="O96" s="19"/>
      <c r="P96" s="17"/>
      <c r="Q96" s="17"/>
      <c r="R96" s="17"/>
      <c r="S96" s="20">
        <f t="shared" si="2"/>
        <v>0</v>
      </c>
    </row>
    <row r="97" spans="2:19" ht="14.1" customHeight="1" x14ac:dyDescent="0.3">
      <c r="B97" s="127"/>
      <c r="C97" s="127"/>
      <c r="D97" s="127"/>
      <c r="E97" s="17"/>
      <c r="F97" s="17"/>
      <c r="G97" s="17"/>
      <c r="H97" s="19"/>
      <c r="I97" s="20">
        <f t="shared" si="0"/>
        <v>0</v>
      </c>
      <c r="J97" s="17"/>
      <c r="K97" s="17"/>
      <c r="L97" s="17"/>
      <c r="M97" s="19"/>
      <c r="N97" s="20">
        <f t="shared" si="1"/>
        <v>0</v>
      </c>
      <c r="O97" s="19"/>
      <c r="P97" s="17"/>
      <c r="Q97" s="17"/>
      <c r="R97" s="17"/>
      <c r="S97" s="20">
        <f t="shared" si="2"/>
        <v>0</v>
      </c>
    </row>
    <row r="98" spans="2:19" ht="14.1" customHeight="1" x14ac:dyDescent="0.3">
      <c r="B98" s="127"/>
      <c r="C98" s="127"/>
      <c r="D98" s="127"/>
      <c r="E98" s="17"/>
      <c r="F98" s="17"/>
      <c r="G98" s="17"/>
      <c r="H98" s="19"/>
      <c r="I98" s="20">
        <f t="shared" si="0"/>
        <v>0</v>
      </c>
      <c r="J98" s="17"/>
      <c r="K98" s="17"/>
      <c r="L98" s="17"/>
      <c r="M98" s="19"/>
      <c r="N98" s="20">
        <f t="shared" si="1"/>
        <v>0</v>
      </c>
      <c r="O98" s="19"/>
      <c r="P98" s="17"/>
      <c r="Q98" s="17"/>
      <c r="R98" s="17"/>
      <c r="S98" s="20">
        <f t="shared" si="2"/>
        <v>0</v>
      </c>
    </row>
    <row r="99" spans="2:19" ht="14.1" customHeight="1" x14ac:dyDescent="0.3">
      <c r="B99" s="127"/>
      <c r="C99" s="127"/>
      <c r="D99" s="127"/>
      <c r="E99" s="17"/>
      <c r="F99" s="17"/>
      <c r="G99" s="17"/>
      <c r="H99" s="19"/>
      <c r="I99" s="20">
        <f t="shared" si="0"/>
        <v>0</v>
      </c>
      <c r="J99" s="17"/>
      <c r="K99" s="17"/>
      <c r="L99" s="17"/>
      <c r="M99" s="19"/>
      <c r="N99" s="20">
        <f t="shared" si="1"/>
        <v>0</v>
      </c>
      <c r="O99" s="19"/>
      <c r="P99" s="17"/>
      <c r="Q99" s="17"/>
      <c r="R99" s="17"/>
      <c r="S99" s="20">
        <f t="shared" si="2"/>
        <v>0</v>
      </c>
    </row>
    <row r="100" spans="2:19" ht="14.1" customHeight="1" x14ac:dyDescent="0.3">
      <c r="B100" s="127"/>
      <c r="C100" s="127"/>
      <c r="D100" s="127"/>
      <c r="E100" s="17"/>
      <c r="F100" s="17"/>
      <c r="G100" s="17"/>
      <c r="H100" s="19"/>
      <c r="I100" s="20">
        <f t="shared" si="0"/>
        <v>0</v>
      </c>
      <c r="J100" s="17"/>
      <c r="K100" s="17"/>
      <c r="L100" s="17"/>
      <c r="M100" s="19"/>
      <c r="N100" s="20">
        <f t="shared" si="1"/>
        <v>0</v>
      </c>
      <c r="O100" s="19"/>
      <c r="P100" s="17"/>
      <c r="Q100" s="17"/>
      <c r="R100" s="17"/>
      <c r="S100" s="20">
        <f t="shared" si="2"/>
        <v>0</v>
      </c>
    </row>
    <row r="101" spans="2:19" ht="14.1" customHeight="1" x14ac:dyDescent="0.3">
      <c r="B101" s="127"/>
      <c r="C101" s="127"/>
      <c r="D101" s="127"/>
      <c r="E101" s="17"/>
      <c r="F101" s="17"/>
      <c r="G101" s="17"/>
      <c r="H101" s="19"/>
      <c r="I101" s="20">
        <f t="shared" si="0"/>
        <v>0</v>
      </c>
      <c r="J101" s="17"/>
      <c r="K101" s="17"/>
      <c r="L101" s="17"/>
      <c r="M101" s="19"/>
      <c r="N101" s="20">
        <f t="shared" si="1"/>
        <v>0</v>
      </c>
      <c r="O101" s="19"/>
      <c r="P101" s="17"/>
      <c r="Q101" s="17"/>
      <c r="R101" s="17"/>
      <c r="S101" s="20">
        <f t="shared" si="2"/>
        <v>0</v>
      </c>
    </row>
    <row r="102" spans="2:19" ht="14.1" customHeight="1" x14ac:dyDescent="0.3">
      <c r="B102" s="127"/>
      <c r="C102" s="127"/>
      <c r="D102" s="127"/>
      <c r="E102" s="17"/>
      <c r="F102" s="17"/>
      <c r="G102" s="17"/>
      <c r="H102" s="19"/>
      <c r="I102" s="20">
        <f t="shared" si="0"/>
        <v>0</v>
      </c>
      <c r="J102" s="17"/>
      <c r="K102" s="17"/>
      <c r="L102" s="17"/>
      <c r="M102" s="19"/>
      <c r="N102" s="20">
        <f t="shared" si="1"/>
        <v>0</v>
      </c>
      <c r="O102" s="19"/>
      <c r="P102" s="17"/>
      <c r="Q102" s="17"/>
      <c r="R102" s="17"/>
      <c r="S102" s="20">
        <f t="shared" si="2"/>
        <v>0</v>
      </c>
    </row>
    <row r="103" spans="2:19" ht="14.1" customHeight="1" x14ac:dyDescent="0.3">
      <c r="B103" s="127"/>
      <c r="C103" s="127"/>
      <c r="D103" s="127"/>
      <c r="E103" s="17"/>
      <c r="F103" s="17"/>
      <c r="G103" s="17"/>
      <c r="H103" s="19"/>
      <c r="I103" s="20">
        <f t="shared" si="0"/>
        <v>0</v>
      </c>
      <c r="J103" s="17"/>
      <c r="K103" s="17"/>
      <c r="L103" s="17"/>
      <c r="M103" s="19"/>
      <c r="N103" s="20">
        <f t="shared" si="1"/>
        <v>0</v>
      </c>
      <c r="O103" s="19"/>
      <c r="P103" s="17"/>
      <c r="Q103" s="17"/>
      <c r="R103" s="17"/>
      <c r="S103" s="20">
        <f t="shared" si="2"/>
        <v>0</v>
      </c>
    </row>
    <row r="104" spans="2:19" ht="14.1" customHeight="1" x14ac:dyDescent="0.3">
      <c r="B104" s="127"/>
      <c r="C104" s="127"/>
      <c r="D104" s="127"/>
      <c r="E104" s="17"/>
      <c r="F104" s="17"/>
      <c r="G104" s="17"/>
      <c r="H104" s="19"/>
      <c r="I104" s="20">
        <f t="shared" si="0"/>
        <v>0</v>
      </c>
      <c r="J104" s="17"/>
      <c r="K104" s="17"/>
      <c r="L104" s="17"/>
      <c r="M104" s="19"/>
      <c r="N104" s="20">
        <f t="shared" si="1"/>
        <v>0</v>
      </c>
      <c r="O104" s="19"/>
      <c r="P104" s="17"/>
      <c r="Q104" s="17"/>
      <c r="R104" s="17"/>
      <c r="S104" s="20">
        <f t="shared" si="2"/>
        <v>0</v>
      </c>
    </row>
    <row r="105" spans="2:19" ht="14.1" customHeight="1" x14ac:dyDescent="0.3">
      <c r="B105" s="127"/>
      <c r="C105" s="127"/>
      <c r="D105" s="127"/>
      <c r="E105" s="17"/>
      <c r="F105" s="17"/>
      <c r="G105" s="17"/>
      <c r="H105" s="19"/>
      <c r="I105" s="20">
        <f t="shared" si="0"/>
        <v>0</v>
      </c>
      <c r="J105" s="17"/>
      <c r="K105" s="17"/>
      <c r="L105" s="17"/>
      <c r="M105" s="19"/>
      <c r="N105" s="20">
        <f t="shared" si="1"/>
        <v>0</v>
      </c>
      <c r="O105" s="19"/>
      <c r="P105" s="17"/>
      <c r="Q105" s="17"/>
      <c r="R105" s="17"/>
      <c r="S105" s="20">
        <f t="shared" si="2"/>
        <v>0</v>
      </c>
    </row>
    <row r="106" spans="2:19" ht="14.1" customHeight="1" x14ac:dyDescent="0.3">
      <c r="B106" s="127"/>
      <c r="C106" s="127"/>
      <c r="D106" s="127"/>
      <c r="E106" s="17"/>
      <c r="F106" s="17"/>
      <c r="G106" s="17"/>
      <c r="H106" s="19"/>
      <c r="I106" s="20">
        <f t="shared" si="0"/>
        <v>0</v>
      </c>
      <c r="J106" s="17"/>
      <c r="K106" s="17"/>
      <c r="L106" s="17"/>
      <c r="M106" s="19"/>
      <c r="N106" s="20">
        <f t="shared" si="1"/>
        <v>0</v>
      </c>
      <c r="O106" s="19"/>
      <c r="P106" s="17"/>
      <c r="Q106" s="17"/>
      <c r="R106" s="17"/>
      <c r="S106" s="20">
        <f t="shared" si="2"/>
        <v>0</v>
      </c>
    </row>
    <row r="107" spans="2:19" ht="14.1" customHeight="1" x14ac:dyDescent="0.3">
      <c r="B107" s="127"/>
      <c r="C107" s="127"/>
      <c r="D107" s="127"/>
      <c r="E107" s="17"/>
      <c r="F107" s="17"/>
      <c r="G107" s="17"/>
      <c r="H107" s="19"/>
      <c r="I107" s="20">
        <f t="shared" si="0"/>
        <v>0</v>
      </c>
      <c r="J107" s="17"/>
      <c r="K107" s="17"/>
      <c r="L107" s="17"/>
      <c r="M107" s="19"/>
      <c r="N107" s="20">
        <f t="shared" si="1"/>
        <v>0</v>
      </c>
      <c r="O107" s="19"/>
      <c r="P107" s="17"/>
      <c r="Q107" s="17"/>
      <c r="R107" s="17"/>
      <c r="S107" s="20">
        <f t="shared" si="2"/>
        <v>0</v>
      </c>
    </row>
    <row r="108" spans="2:19" ht="14.1" customHeight="1" x14ac:dyDescent="0.3">
      <c r="B108" s="127"/>
      <c r="C108" s="127"/>
      <c r="D108" s="127"/>
      <c r="E108" s="17"/>
      <c r="F108" s="17"/>
      <c r="G108" s="17"/>
      <c r="H108" s="19"/>
      <c r="I108" s="20">
        <f t="shared" si="0"/>
        <v>0</v>
      </c>
      <c r="J108" s="17"/>
      <c r="K108" s="17"/>
      <c r="L108" s="17"/>
      <c r="M108" s="19"/>
      <c r="N108" s="20">
        <f t="shared" si="1"/>
        <v>0</v>
      </c>
      <c r="O108" s="19"/>
      <c r="P108" s="17"/>
      <c r="Q108" s="17"/>
      <c r="R108" s="17"/>
      <c r="S108" s="20">
        <f t="shared" si="2"/>
        <v>0</v>
      </c>
    </row>
    <row r="109" spans="2:19" ht="14.1" customHeight="1" x14ac:dyDescent="0.3">
      <c r="B109" s="22"/>
      <c r="C109" s="21"/>
    </row>
    <row r="111" spans="2:19" ht="14.1" customHeight="1" x14ac:dyDescent="0.3">
      <c r="B111" s="15"/>
      <c r="C111" s="15"/>
      <c r="D111" s="15"/>
      <c r="E111" s="116" t="s">
        <v>16</v>
      </c>
      <c r="F111" s="116"/>
      <c r="G111" s="116"/>
      <c r="H111" s="116"/>
      <c r="I111" s="117" t="s">
        <v>17</v>
      </c>
      <c r="J111" s="117"/>
      <c r="K111" s="117"/>
      <c r="L111" s="117"/>
      <c r="M111" s="117" t="s">
        <v>18</v>
      </c>
      <c r="N111" s="117"/>
      <c r="O111" s="117"/>
      <c r="P111" s="117"/>
    </row>
    <row r="112" spans="2:19" ht="14.1" customHeight="1" x14ac:dyDescent="0.3">
      <c r="B112" s="116" t="s">
        <v>5</v>
      </c>
      <c r="C112" s="116"/>
      <c r="D112" s="116"/>
      <c r="E112" s="9" t="s">
        <v>6</v>
      </c>
      <c r="F112" s="9" t="s">
        <v>7</v>
      </c>
      <c r="G112" s="9" t="s">
        <v>8</v>
      </c>
      <c r="H112" s="10" t="s">
        <v>10</v>
      </c>
      <c r="I112" s="9" t="s">
        <v>6</v>
      </c>
      <c r="J112" s="9" t="s">
        <v>8</v>
      </c>
      <c r="K112" s="9" t="s">
        <v>9</v>
      </c>
      <c r="L112" s="10" t="s">
        <v>10</v>
      </c>
      <c r="M112" s="9" t="s">
        <v>6</v>
      </c>
      <c r="N112" s="9" t="s">
        <v>7</v>
      </c>
      <c r="O112" s="9" t="s">
        <v>9</v>
      </c>
      <c r="P112" s="10" t="s">
        <v>10</v>
      </c>
    </row>
    <row r="113" spans="2:16" ht="14.1" customHeight="1" x14ac:dyDescent="0.3">
      <c r="B113" s="116"/>
      <c r="C113" s="116"/>
      <c r="D113" s="116"/>
      <c r="E113" s="17" t="s">
        <v>13</v>
      </c>
      <c r="F113" s="17" t="s">
        <v>13</v>
      </c>
      <c r="G113" s="17" t="s">
        <v>13</v>
      </c>
      <c r="H113" s="18" t="s">
        <v>14</v>
      </c>
      <c r="I113" s="17" t="s">
        <v>13</v>
      </c>
      <c r="J113" s="17" t="s">
        <v>13</v>
      </c>
      <c r="K113" s="17" t="s">
        <v>13</v>
      </c>
      <c r="L113" s="18" t="s">
        <v>14</v>
      </c>
      <c r="M113" s="17" t="s">
        <v>13</v>
      </c>
      <c r="N113" s="17" t="s">
        <v>13</v>
      </c>
      <c r="O113" s="17" t="s">
        <v>13</v>
      </c>
      <c r="P113" s="18" t="s">
        <v>14</v>
      </c>
    </row>
    <row r="114" spans="2:16" ht="14.1" customHeight="1" x14ac:dyDescent="0.3">
      <c r="B114" s="110">
        <f t="shared" ref="B114:B129" si="3">B8</f>
        <v>0</v>
      </c>
      <c r="C114" s="110"/>
      <c r="D114" s="110"/>
      <c r="E114" s="17"/>
      <c r="F114" s="17"/>
      <c r="G114" s="19"/>
      <c r="H114" s="20">
        <f t="shared" ref="H114:H221" si="4">E114*F114</f>
        <v>0</v>
      </c>
      <c r="I114" s="17"/>
      <c r="J114" s="17"/>
      <c r="K114" s="19"/>
      <c r="L114" s="20">
        <f t="shared" ref="L114:L221" si="5">I114*J114</f>
        <v>0</v>
      </c>
      <c r="M114" s="17"/>
      <c r="N114" s="17"/>
      <c r="O114" s="17"/>
      <c r="P114" s="20">
        <f t="shared" ref="P114:P221" si="6">O114*N114*M114</f>
        <v>0</v>
      </c>
    </row>
    <row r="115" spans="2:16" ht="14.1" customHeight="1" x14ac:dyDescent="0.3">
      <c r="B115" s="110">
        <f t="shared" si="3"/>
        <v>0</v>
      </c>
      <c r="C115" s="110"/>
      <c r="D115" s="110"/>
      <c r="E115" s="17"/>
      <c r="F115" s="17"/>
      <c r="G115" s="19"/>
      <c r="H115" s="20">
        <f t="shared" si="4"/>
        <v>0</v>
      </c>
      <c r="I115" s="17"/>
      <c r="J115" s="17"/>
      <c r="K115" s="19"/>
      <c r="L115" s="20">
        <f t="shared" si="5"/>
        <v>0</v>
      </c>
      <c r="M115" s="17"/>
      <c r="N115" s="17"/>
      <c r="O115" s="17"/>
      <c r="P115" s="20">
        <f t="shared" si="6"/>
        <v>0</v>
      </c>
    </row>
    <row r="116" spans="2:16" ht="14.1" customHeight="1" x14ac:dyDescent="0.3">
      <c r="B116" s="110">
        <f t="shared" si="3"/>
        <v>0</v>
      </c>
      <c r="C116" s="110"/>
      <c r="D116" s="110"/>
      <c r="E116" s="17"/>
      <c r="F116" s="17"/>
      <c r="G116" s="19"/>
      <c r="H116" s="20">
        <f t="shared" si="4"/>
        <v>0</v>
      </c>
      <c r="I116" s="17"/>
      <c r="J116" s="17"/>
      <c r="K116" s="19"/>
      <c r="L116" s="20">
        <f t="shared" si="5"/>
        <v>0</v>
      </c>
      <c r="M116" s="17"/>
      <c r="N116" s="17"/>
      <c r="O116" s="17"/>
      <c r="P116" s="20">
        <f t="shared" si="6"/>
        <v>0</v>
      </c>
    </row>
    <row r="117" spans="2:16" ht="14.1" customHeight="1" x14ac:dyDescent="0.3">
      <c r="B117" s="110">
        <f t="shared" si="3"/>
        <v>0</v>
      </c>
      <c r="C117" s="110"/>
      <c r="D117" s="110"/>
      <c r="E117" s="17"/>
      <c r="F117" s="17"/>
      <c r="G117" s="19"/>
      <c r="H117" s="20">
        <f t="shared" si="4"/>
        <v>0</v>
      </c>
      <c r="I117" s="17"/>
      <c r="J117" s="17"/>
      <c r="K117" s="19"/>
      <c r="L117" s="20">
        <f t="shared" si="5"/>
        <v>0</v>
      </c>
      <c r="M117" s="17"/>
      <c r="N117" s="17"/>
      <c r="O117" s="17"/>
      <c r="P117" s="20">
        <f t="shared" si="6"/>
        <v>0</v>
      </c>
    </row>
    <row r="118" spans="2:16" ht="14.1" customHeight="1" x14ac:dyDescent="0.3">
      <c r="B118" s="110">
        <f t="shared" si="3"/>
        <v>0</v>
      </c>
      <c r="C118" s="110"/>
      <c r="D118" s="110"/>
      <c r="E118" s="17"/>
      <c r="F118" s="17"/>
      <c r="G118" s="19"/>
      <c r="H118" s="20">
        <f t="shared" si="4"/>
        <v>0</v>
      </c>
      <c r="I118" s="17"/>
      <c r="J118" s="17"/>
      <c r="K118" s="19"/>
      <c r="L118" s="20">
        <f t="shared" si="5"/>
        <v>0</v>
      </c>
      <c r="M118" s="17"/>
      <c r="N118" s="17"/>
      <c r="O118" s="17"/>
      <c r="P118" s="20">
        <f t="shared" si="6"/>
        <v>0</v>
      </c>
    </row>
    <row r="119" spans="2:16" ht="14.1" customHeight="1" x14ac:dyDescent="0.3">
      <c r="B119" s="110">
        <f t="shared" si="3"/>
        <v>0</v>
      </c>
      <c r="C119" s="110"/>
      <c r="D119" s="110"/>
      <c r="E119" s="17"/>
      <c r="F119" s="17"/>
      <c r="G119" s="19"/>
      <c r="H119" s="20">
        <f t="shared" si="4"/>
        <v>0</v>
      </c>
      <c r="I119" s="17"/>
      <c r="J119" s="17"/>
      <c r="K119" s="19"/>
      <c r="L119" s="20">
        <f t="shared" si="5"/>
        <v>0</v>
      </c>
      <c r="M119" s="17"/>
      <c r="N119" s="17"/>
      <c r="O119" s="17"/>
      <c r="P119" s="20">
        <f t="shared" si="6"/>
        <v>0</v>
      </c>
    </row>
    <row r="120" spans="2:16" ht="14.1" customHeight="1" x14ac:dyDescent="0.3">
      <c r="B120" s="110">
        <f t="shared" si="3"/>
        <v>0</v>
      </c>
      <c r="C120" s="110"/>
      <c r="D120" s="110"/>
      <c r="E120" s="17"/>
      <c r="F120" s="17"/>
      <c r="G120" s="19"/>
      <c r="H120" s="20">
        <f t="shared" si="4"/>
        <v>0</v>
      </c>
      <c r="I120" s="17"/>
      <c r="J120" s="17"/>
      <c r="K120" s="19"/>
      <c r="L120" s="20">
        <f t="shared" si="5"/>
        <v>0</v>
      </c>
      <c r="M120" s="17"/>
      <c r="N120" s="17"/>
      <c r="O120" s="17"/>
      <c r="P120" s="20">
        <f t="shared" si="6"/>
        <v>0</v>
      </c>
    </row>
    <row r="121" spans="2:16" ht="14.1" customHeight="1" x14ac:dyDescent="0.3">
      <c r="B121" s="110">
        <f t="shared" si="3"/>
        <v>0</v>
      </c>
      <c r="C121" s="110"/>
      <c r="D121" s="110"/>
      <c r="E121" s="17"/>
      <c r="F121" s="17"/>
      <c r="G121" s="19"/>
      <c r="H121" s="20">
        <f t="shared" si="4"/>
        <v>0</v>
      </c>
      <c r="I121" s="17"/>
      <c r="J121" s="17"/>
      <c r="K121" s="19"/>
      <c r="L121" s="20">
        <f t="shared" si="5"/>
        <v>0</v>
      </c>
      <c r="M121" s="17"/>
      <c r="N121" s="17"/>
      <c r="O121" s="17"/>
      <c r="P121" s="20">
        <f t="shared" si="6"/>
        <v>0</v>
      </c>
    </row>
    <row r="122" spans="2:16" ht="14.1" customHeight="1" x14ac:dyDescent="0.3">
      <c r="B122" s="110">
        <f t="shared" si="3"/>
        <v>0</v>
      </c>
      <c r="C122" s="110"/>
      <c r="D122" s="110"/>
      <c r="E122" s="17"/>
      <c r="F122" s="17"/>
      <c r="G122" s="19"/>
      <c r="H122" s="20">
        <f t="shared" si="4"/>
        <v>0</v>
      </c>
      <c r="I122" s="17"/>
      <c r="J122" s="17"/>
      <c r="K122" s="19"/>
      <c r="L122" s="20">
        <f t="shared" si="5"/>
        <v>0</v>
      </c>
      <c r="M122" s="17"/>
      <c r="N122" s="17"/>
      <c r="O122" s="17"/>
      <c r="P122" s="20">
        <f t="shared" si="6"/>
        <v>0</v>
      </c>
    </row>
    <row r="123" spans="2:16" ht="14.1" customHeight="1" x14ac:dyDescent="0.3">
      <c r="B123" s="110">
        <f t="shared" si="3"/>
        <v>0</v>
      </c>
      <c r="C123" s="110"/>
      <c r="D123" s="110"/>
      <c r="E123" s="17"/>
      <c r="F123" s="17"/>
      <c r="G123" s="19"/>
      <c r="H123" s="20">
        <f t="shared" si="4"/>
        <v>0</v>
      </c>
      <c r="I123" s="17"/>
      <c r="J123" s="17"/>
      <c r="K123" s="19"/>
      <c r="L123" s="20">
        <f t="shared" si="5"/>
        <v>0</v>
      </c>
      <c r="M123" s="17"/>
      <c r="N123" s="17"/>
      <c r="O123" s="17"/>
      <c r="P123" s="20">
        <f t="shared" si="6"/>
        <v>0</v>
      </c>
    </row>
    <row r="124" spans="2:16" ht="14.1" customHeight="1" x14ac:dyDescent="0.3">
      <c r="B124" s="110">
        <f t="shared" si="3"/>
        <v>0</v>
      </c>
      <c r="C124" s="110"/>
      <c r="D124" s="110"/>
      <c r="E124" s="17"/>
      <c r="F124" s="17"/>
      <c r="G124" s="19"/>
      <c r="H124" s="20">
        <f t="shared" si="4"/>
        <v>0</v>
      </c>
      <c r="I124" s="17"/>
      <c r="J124" s="17"/>
      <c r="K124" s="19"/>
      <c r="L124" s="20">
        <f t="shared" si="5"/>
        <v>0</v>
      </c>
      <c r="M124" s="17"/>
      <c r="N124" s="17"/>
      <c r="O124" s="17"/>
      <c r="P124" s="20">
        <f t="shared" si="6"/>
        <v>0</v>
      </c>
    </row>
    <row r="125" spans="2:16" ht="14.1" customHeight="1" x14ac:dyDescent="0.3">
      <c r="B125" s="110">
        <f t="shared" si="3"/>
        <v>0</v>
      </c>
      <c r="C125" s="110"/>
      <c r="D125" s="110"/>
      <c r="E125" s="17"/>
      <c r="F125" s="17"/>
      <c r="G125" s="19"/>
      <c r="H125" s="20">
        <f t="shared" si="4"/>
        <v>0</v>
      </c>
      <c r="I125" s="17"/>
      <c r="J125" s="17"/>
      <c r="K125" s="19"/>
      <c r="L125" s="20">
        <f t="shared" si="5"/>
        <v>0</v>
      </c>
      <c r="M125" s="17"/>
      <c r="N125" s="17"/>
      <c r="O125" s="17"/>
      <c r="P125" s="20">
        <f t="shared" si="6"/>
        <v>0</v>
      </c>
    </row>
    <row r="126" spans="2:16" ht="14.1" customHeight="1" x14ac:dyDescent="0.3">
      <c r="B126" s="110">
        <f t="shared" si="3"/>
        <v>0</v>
      </c>
      <c r="C126" s="110"/>
      <c r="D126" s="110"/>
      <c r="E126" s="17"/>
      <c r="F126" s="17"/>
      <c r="G126" s="19"/>
      <c r="H126" s="20">
        <f t="shared" si="4"/>
        <v>0</v>
      </c>
      <c r="I126" s="17"/>
      <c r="J126" s="17"/>
      <c r="K126" s="19"/>
      <c r="L126" s="20">
        <f t="shared" si="5"/>
        <v>0</v>
      </c>
      <c r="M126" s="17"/>
      <c r="N126" s="17"/>
      <c r="O126" s="17"/>
      <c r="P126" s="20">
        <f t="shared" si="6"/>
        <v>0</v>
      </c>
    </row>
    <row r="127" spans="2:16" ht="14.1" customHeight="1" x14ac:dyDescent="0.3">
      <c r="B127" s="110">
        <f t="shared" si="3"/>
        <v>0</v>
      </c>
      <c r="C127" s="110"/>
      <c r="D127" s="110"/>
      <c r="E127" s="17"/>
      <c r="F127" s="17"/>
      <c r="G127" s="19"/>
      <c r="H127" s="20">
        <f t="shared" si="4"/>
        <v>0</v>
      </c>
      <c r="I127" s="17"/>
      <c r="J127" s="17"/>
      <c r="K127" s="19"/>
      <c r="L127" s="20">
        <f t="shared" si="5"/>
        <v>0</v>
      </c>
      <c r="M127" s="17"/>
      <c r="N127" s="17"/>
      <c r="O127" s="17"/>
      <c r="P127" s="20">
        <f t="shared" si="6"/>
        <v>0</v>
      </c>
    </row>
    <row r="128" spans="2:16" ht="14.1" customHeight="1" x14ac:dyDescent="0.3">
      <c r="B128" s="110">
        <f t="shared" si="3"/>
        <v>0</v>
      </c>
      <c r="C128" s="110"/>
      <c r="D128" s="110"/>
      <c r="E128" s="17"/>
      <c r="F128" s="17"/>
      <c r="G128" s="19"/>
      <c r="H128" s="20">
        <f t="shared" si="4"/>
        <v>0</v>
      </c>
      <c r="I128" s="17"/>
      <c r="J128" s="17"/>
      <c r="K128" s="19"/>
      <c r="L128" s="20">
        <f t="shared" si="5"/>
        <v>0</v>
      </c>
      <c r="M128" s="17"/>
      <c r="N128" s="17"/>
      <c r="O128" s="17"/>
      <c r="P128" s="20">
        <f t="shared" si="6"/>
        <v>0</v>
      </c>
    </row>
    <row r="129" spans="2:16" ht="14.1" customHeight="1" x14ac:dyDescent="0.3">
      <c r="B129" s="110">
        <f t="shared" si="3"/>
        <v>0</v>
      </c>
      <c r="C129" s="110"/>
      <c r="D129" s="110"/>
      <c r="E129" s="17"/>
      <c r="F129" s="17"/>
      <c r="G129" s="19"/>
      <c r="H129" s="20">
        <f t="shared" si="4"/>
        <v>0</v>
      </c>
      <c r="I129" s="17"/>
      <c r="J129" s="17"/>
      <c r="K129" s="19"/>
      <c r="L129" s="20">
        <f t="shared" si="5"/>
        <v>0</v>
      </c>
      <c r="M129" s="17"/>
      <c r="N129" s="17"/>
      <c r="O129" s="17"/>
      <c r="P129" s="20">
        <f t="shared" si="6"/>
        <v>0</v>
      </c>
    </row>
    <row r="130" spans="2:16" ht="14.1" customHeight="1" x14ac:dyDescent="0.3">
      <c r="B130" s="110">
        <f>B83</f>
        <v>0</v>
      </c>
      <c r="C130" s="110"/>
      <c r="D130" s="110"/>
      <c r="E130" s="17"/>
      <c r="F130" s="17"/>
      <c r="G130" s="19"/>
      <c r="H130" s="20">
        <f t="shared" si="4"/>
        <v>0</v>
      </c>
      <c r="I130" s="17"/>
      <c r="J130" s="17"/>
      <c r="K130" s="19"/>
      <c r="L130" s="20">
        <f t="shared" si="5"/>
        <v>0</v>
      </c>
      <c r="M130" s="17"/>
      <c r="N130" s="17"/>
      <c r="O130" s="17"/>
      <c r="P130" s="20">
        <f t="shared" si="6"/>
        <v>0</v>
      </c>
    </row>
    <row r="131" spans="2:16" ht="14.1" customHeight="1" x14ac:dyDescent="0.3">
      <c r="B131" s="110">
        <f>B84</f>
        <v>0</v>
      </c>
      <c r="C131" s="110"/>
      <c r="D131" s="110"/>
      <c r="E131" s="17"/>
      <c r="F131" s="17"/>
      <c r="G131" s="19"/>
      <c r="H131" s="20">
        <f t="shared" si="4"/>
        <v>0</v>
      </c>
      <c r="I131" s="17"/>
      <c r="J131" s="17"/>
      <c r="K131" s="19"/>
      <c r="L131" s="20">
        <f t="shared" si="5"/>
        <v>0</v>
      </c>
      <c r="M131" s="17"/>
      <c r="N131" s="17"/>
      <c r="O131" s="17"/>
      <c r="P131" s="20">
        <f t="shared" si="6"/>
        <v>0</v>
      </c>
    </row>
    <row r="132" spans="2:16" ht="14.1" customHeight="1" x14ac:dyDescent="0.3">
      <c r="B132" s="110">
        <f>B85</f>
        <v>0</v>
      </c>
      <c r="C132" s="110"/>
      <c r="D132" s="110"/>
      <c r="E132" s="17"/>
      <c r="F132" s="17"/>
      <c r="G132" s="19"/>
      <c r="H132" s="20">
        <f t="shared" si="4"/>
        <v>0</v>
      </c>
      <c r="I132" s="17"/>
      <c r="J132" s="17"/>
      <c r="K132" s="19"/>
      <c r="L132" s="20">
        <f t="shared" si="5"/>
        <v>0</v>
      </c>
      <c r="M132" s="17"/>
      <c r="N132" s="17"/>
      <c r="O132" s="17"/>
      <c r="P132" s="20">
        <f t="shared" si="6"/>
        <v>0</v>
      </c>
    </row>
    <row r="133" spans="2:16" ht="14.1" customHeight="1" x14ac:dyDescent="0.3">
      <c r="B133" s="110">
        <f>B27</f>
        <v>0</v>
      </c>
      <c r="C133" s="110"/>
      <c r="D133" s="110"/>
      <c r="E133" s="17"/>
      <c r="F133" s="17"/>
      <c r="G133" s="19"/>
      <c r="H133" s="20">
        <f t="shared" si="4"/>
        <v>0</v>
      </c>
      <c r="I133" s="17"/>
      <c r="J133" s="17"/>
      <c r="K133" s="19"/>
      <c r="L133" s="20">
        <f t="shared" si="5"/>
        <v>0</v>
      </c>
      <c r="M133" s="17"/>
      <c r="N133" s="17"/>
      <c r="O133" s="17"/>
      <c r="P133" s="20">
        <f t="shared" si="6"/>
        <v>0</v>
      </c>
    </row>
    <row r="134" spans="2:16" ht="14.1" customHeight="1" x14ac:dyDescent="0.3">
      <c r="B134" s="110">
        <f t="shared" ref="B134:B147" si="7">B71</f>
        <v>0</v>
      </c>
      <c r="C134" s="110"/>
      <c r="D134" s="110"/>
      <c r="E134" s="17"/>
      <c r="F134" s="17"/>
      <c r="G134" s="19"/>
      <c r="H134" s="20">
        <f t="shared" si="4"/>
        <v>0</v>
      </c>
      <c r="I134" s="17"/>
      <c r="J134" s="17"/>
      <c r="K134" s="19"/>
      <c r="L134" s="20">
        <f t="shared" si="5"/>
        <v>0</v>
      </c>
      <c r="M134" s="17"/>
      <c r="N134" s="17"/>
      <c r="O134" s="17"/>
      <c r="P134" s="20">
        <f t="shared" si="6"/>
        <v>0</v>
      </c>
    </row>
    <row r="135" spans="2:16" ht="14.1" customHeight="1" x14ac:dyDescent="0.3">
      <c r="B135" s="110">
        <f t="shared" si="7"/>
        <v>0</v>
      </c>
      <c r="C135" s="110"/>
      <c r="D135" s="110"/>
      <c r="E135" s="17"/>
      <c r="F135" s="17"/>
      <c r="G135" s="19"/>
      <c r="H135" s="20">
        <f t="shared" si="4"/>
        <v>0</v>
      </c>
      <c r="I135" s="17"/>
      <c r="J135" s="17"/>
      <c r="K135" s="19"/>
      <c r="L135" s="20">
        <f t="shared" si="5"/>
        <v>0</v>
      </c>
      <c r="M135" s="17"/>
      <c r="N135" s="17"/>
      <c r="O135" s="17"/>
      <c r="P135" s="20">
        <f t="shared" si="6"/>
        <v>0</v>
      </c>
    </row>
    <row r="136" spans="2:16" ht="14.1" customHeight="1" x14ac:dyDescent="0.3">
      <c r="B136" s="110">
        <f t="shared" si="7"/>
        <v>0</v>
      </c>
      <c r="C136" s="110"/>
      <c r="D136" s="110"/>
      <c r="E136" s="17"/>
      <c r="F136" s="17"/>
      <c r="G136" s="19"/>
      <c r="H136" s="20">
        <f t="shared" si="4"/>
        <v>0</v>
      </c>
      <c r="I136" s="17"/>
      <c r="J136" s="17"/>
      <c r="K136" s="19"/>
      <c r="L136" s="20">
        <f t="shared" si="5"/>
        <v>0</v>
      </c>
      <c r="M136" s="17"/>
      <c r="N136" s="17"/>
      <c r="O136" s="17"/>
      <c r="P136" s="20">
        <f t="shared" si="6"/>
        <v>0</v>
      </c>
    </row>
    <row r="137" spans="2:16" ht="14.1" customHeight="1" x14ac:dyDescent="0.3">
      <c r="B137" s="110">
        <f t="shared" si="7"/>
        <v>0</v>
      </c>
      <c r="C137" s="110"/>
      <c r="D137" s="110"/>
      <c r="E137" s="17"/>
      <c r="F137" s="17"/>
      <c r="G137" s="19"/>
      <c r="H137" s="20">
        <f t="shared" si="4"/>
        <v>0</v>
      </c>
      <c r="I137" s="17"/>
      <c r="J137" s="17"/>
      <c r="K137" s="19"/>
      <c r="L137" s="20">
        <f t="shared" si="5"/>
        <v>0</v>
      </c>
      <c r="M137" s="17"/>
      <c r="N137" s="17"/>
      <c r="O137" s="17"/>
      <c r="P137" s="20">
        <f t="shared" si="6"/>
        <v>0</v>
      </c>
    </row>
    <row r="138" spans="2:16" ht="14.1" customHeight="1" x14ac:dyDescent="0.3">
      <c r="B138" s="110">
        <f t="shared" si="7"/>
        <v>0</v>
      </c>
      <c r="C138" s="110"/>
      <c r="D138" s="110"/>
      <c r="E138" s="17"/>
      <c r="F138" s="17"/>
      <c r="G138" s="19"/>
      <c r="H138" s="20">
        <f t="shared" si="4"/>
        <v>0</v>
      </c>
      <c r="I138" s="17"/>
      <c r="J138" s="17"/>
      <c r="K138" s="19"/>
      <c r="L138" s="20">
        <f t="shared" si="5"/>
        <v>0</v>
      </c>
      <c r="M138" s="17"/>
      <c r="N138" s="17"/>
      <c r="O138" s="17"/>
      <c r="P138" s="20">
        <f t="shared" si="6"/>
        <v>0</v>
      </c>
    </row>
    <row r="139" spans="2:16" ht="14.1" customHeight="1" x14ac:dyDescent="0.3">
      <c r="B139" s="110">
        <f t="shared" si="7"/>
        <v>0</v>
      </c>
      <c r="C139" s="110"/>
      <c r="D139" s="110"/>
      <c r="E139" s="17"/>
      <c r="F139" s="17"/>
      <c r="G139" s="19"/>
      <c r="H139" s="20">
        <f t="shared" si="4"/>
        <v>0</v>
      </c>
      <c r="I139" s="17"/>
      <c r="J139" s="17"/>
      <c r="K139" s="19"/>
      <c r="L139" s="20">
        <f t="shared" si="5"/>
        <v>0</v>
      </c>
      <c r="M139" s="17"/>
      <c r="N139" s="17"/>
      <c r="O139" s="17"/>
      <c r="P139" s="20">
        <f t="shared" si="6"/>
        <v>0</v>
      </c>
    </row>
    <row r="140" spans="2:16" ht="14.1" customHeight="1" x14ac:dyDescent="0.3">
      <c r="B140" s="110">
        <f t="shared" si="7"/>
        <v>0</v>
      </c>
      <c r="C140" s="110"/>
      <c r="D140" s="110"/>
      <c r="E140" s="17"/>
      <c r="F140" s="17"/>
      <c r="G140" s="19"/>
      <c r="H140" s="20">
        <f t="shared" si="4"/>
        <v>0</v>
      </c>
      <c r="I140" s="17"/>
      <c r="J140" s="17"/>
      <c r="K140" s="19"/>
      <c r="L140" s="20">
        <f t="shared" si="5"/>
        <v>0</v>
      </c>
      <c r="M140" s="17"/>
      <c r="N140" s="17"/>
      <c r="O140" s="17"/>
      <c r="P140" s="20">
        <f t="shared" si="6"/>
        <v>0</v>
      </c>
    </row>
    <row r="141" spans="2:16" ht="14.1" customHeight="1" x14ac:dyDescent="0.3">
      <c r="B141" s="110">
        <f t="shared" si="7"/>
        <v>0</v>
      </c>
      <c r="C141" s="110"/>
      <c r="D141" s="110"/>
      <c r="E141" s="17"/>
      <c r="F141" s="17"/>
      <c r="G141" s="19"/>
      <c r="H141" s="20">
        <f t="shared" si="4"/>
        <v>0</v>
      </c>
      <c r="I141" s="17"/>
      <c r="J141" s="17"/>
      <c r="K141" s="19"/>
      <c r="L141" s="20">
        <f t="shared" si="5"/>
        <v>0</v>
      </c>
      <c r="M141" s="17"/>
      <c r="N141" s="17"/>
      <c r="O141" s="17"/>
      <c r="P141" s="20">
        <f t="shared" si="6"/>
        <v>0</v>
      </c>
    </row>
    <row r="142" spans="2:16" ht="14.1" customHeight="1" x14ac:dyDescent="0.3">
      <c r="B142" s="110">
        <f t="shared" si="7"/>
        <v>0</v>
      </c>
      <c r="C142" s="110"/>
      <c r="D142" s="110"/>
      <c r="E142" s="17"/>
      <c r="F142" s="17"/>
      <c r="G142" s="19"/>
      <c r="H142" s="20">
        <f t="shared" si="4"/>
        <v>0</v>
      </c>
      <c r="I142" s="17"/>
      <c r="J142" s="17"/>
      <c r="K142" s="19"/>
      <c r="L142" s="20">
        <f t="shared" si="5"/>
        <v>0</v>
      </c>
      <c r="M142" s="17"/>
      <c r="N142" s="17"/>
      <c r="O142" s="17"/>
      <c r="P142" s="20">
        <f t="shared" si="6"/>
        <v>0</v>
      </c>
    </row>
    <row r="143" spans="2:16" ht="14.1" customHeight="1" x14ac:dyDescent="0.3">
      <c r="B143" s="110">
        <f t="shared" si="7"/>
        <v>0</v>
      </c>
      <c r="C143" s="110"/>
      <c r="D143" s="110"/>
      <c r="E143" s="17"/>
      <c r="F143" s="17"/>
      <c r="G143" s="19"/>
      <c r="H143" s="20">
        <f t="shared" si="4"/>
        <v>0</v>
      </c>
      <c r="I143" s="17"/>
      <c r="J143" s="17"/>
      <c r="K143" s="19"/>
      <c r="L143" s="20">
        <f t="shared" si="5"/>
        <v>0</v>
      </c>
      <c r="M143" s="17"/>
      <c r="N143" s="17"/>
      <c r="O143" s="17"/>
      <c r="P143" s="20">
        <f t="shared" si="6"/>
        <v>0</v>
      </c>
    </row>
    <row r="144" spans="2:16" ht="14.1" customHeight="1" x14ac:dyDescent="0.3">
      <c r="B144" s="110">
        <f t="shared" si="7"/>
        <v>0</v>
      </c>
      <c r="C144" s="110"/>
      <c r="D144" s="110"/>
      <c r="E144" s="17"/>
      <c r="F144" s="17"/>
      <c r="G144" s="19"/>
      <c r="H144" s="20">
        <f t="shared" si="4"/>
        <v>0</v>
      </c>
      <c r="I144" s="17"/>
      <c r="J144" s="17"/>
      <c r="K144" s="19"/>
      <c r="L144" s="20">
        <f t="shared" si="5"/>
        <v>0</v>
      </c>
      <c r="M144" s="17"/>
      <c r="N144" s="17"/>
      <c r="O144" s="17"/>
      <c r="P144" s="20">
        <f t="shared" si="6"/>
        <v>0</v>
      </c>
    </row>
    <row r="145" spans="2:16" ht="14.1" customHeight="1" x14ac:dyDescent="0.3">
      <c r="B145" s="110">
        <f t="shared" si="7"/>
        <v>0</v>
      </c>
      <c r="C145" s="110"/>
      <c r="D145" s="110"/>
      <c r="E145" s="17"/>
      <c r="F145" s="17"/>
      <c r="G145" s="19"/>
      <c r="H145" s="20">
        <f t="shared" si="4"/>
        <v>0</v>
      </c>
      <c r="I145" s="17"/>
      <c r="J145" s="17"/>
      <c r="K145" s="19"/>
      <c r="L145" s="20">
        <f t="shared" si="5"/>
        <v>0</v>
      </c>
      <c r="M145" s="17"/>
      <c r="N145" s="17"/>
      <c r="O145" s="17"/>
      <c r="P145" s="20">
        <f t="shared" si="6"/>
        <v>0</v>
      </c>
    </row>
    <row r="146" spans="2:16" ht="14.1" customHeight="1" x14ac:dyDescent="0.3">
      <c r="B146" s="110">
        <f t="shared" si="7"/>
        <v>0</v>
      </c>
      <c r="C146" s="110"/>
      <c r="D146" s="110"/>
      <c r="E146" s="17"/>
      <c r="F146" s="17"/>
      <c r="G146" s="19"/>
      <c r="H146" s="20">
        <f t="shared" si="4"/>
        <v>0</v>
      </c>
      <c r="I146" s="17"/>
      <c r="J146" s="17"/>
      <c r="K146" s="19"/>
      <c r="L146" s="20">
        <f t="shared" si="5"/>
        <v>0</v>
      </c>
      <c r="M146" s="17"/>
      <c r="N146" s="17"/>
      <c r="O146" s="17"/>
      <c r="P146" s="20">
        <f t="shared" si="6"/>
        <v>0</v>
      </c>
    </row>
    <row r="147" spans="2:16" ht="14.1" customHeight="1" x14ac:dyDescent="0.3">
      <c r="B147" s="110">
        <f t="shared" si="7"/>
        <v>0</v>
      </c>
      <c r="C147" s="110"/>
      <c r="D147" s="110"/>
      <c r="E147" s="17"/>
      <c r="F147" s="17"/>
      <c r="G147" s="19"/>
      <c r="H147" s="20">
        <f t="shared" si="4"/>
        <v>0</v>
      </c>
      <c r="I147" s="17"/>
      <c r="J147" s="17"/>
      <c r="K147" s="19"/>
      <c r="L147" s="20">
        <f t="shared" si="5"/>
        <v>0</v>
      </c>
      <c r="M147" s="17"/>
      <c r="N147" s="17"/>
      <c r="O147" s="17"/>
      <c r="P147" s="20">
        <f t="shared" si="6"/>
        <v>0</v>
      </c>
    </row>
    <row r="148" spans="2:16" ht="14.1" customHeight="1" x14ac:dyDescent="0.3">
      <c r="B148" s="110">
        <f t="shared" ref="B148:B163" si="8">B42</f>
        <v>0</v>
      </c>
      <c r="C148" s="110"/>
      <c r="D148" s="110"/>
      <c r="E148" s="17"/>
      <c r="F148" s="17"/>
      <c r="G148" s="19"/>
      <c r="H148" s="20">
        <f t="shared" si="4"/>
        <v>0</v>
      </c>
      <c r="I148" s="17"/>
      <c r="J148" s="17"/>
      <c r="K148" s="19"/>
      <c r="L148" s="20">
        <f t="shared" si="5"/>
        <v>0</v>
      </c>
      <c r="M148" s="17"/>
      <c r="N148" s="17"/>
      <c r="O148" s="17"/>
      <c r="P148" s="20">
        <f t="shared" si="6"/>
        <v>0</v>
      </c>
    </row>
    <row r="149" spans="2:16" ht="14.1" customHeight="1" x14ac:dyDescent="0.3">
      <c r="B149" s="110">
        <f t="shared" si="8"/>
        <v>0</v>
      </c>
      <c r="C149" s="110"/>
      <c r="D149" s="110"/>
      <c r="E149" s="17"/>
      <c r="F149" s="17"/>
      <c r="G149" s="19"/>
      <c r="H149" s="20">
        <f t="shared" si="4"/>
        <v>0</v>
      </c>
      <c r="I149" s="17"/>
      <c r="J149" s="17"/>
      <c r="K149" s="19"/>
      <c r="L149" s="20">
        <f t="shared" si="5"/>
        <v>0</v>
      </c>
      <c r="M149" s="17"/>
      <c r="N149" s="17"/>
      <c r="O149" s="17"/>
      <c r="P149" s="20">
        <f t="shared" si="6"/>
        <v>0</v>
      </c>
    </row>
    <row r="150" spans="2:16" ht="14.1" customHeight="1" x14ac:dyDescent="0.3">
      <c r="B150" s="110">
        <f t="shared" si="8"/>
        <v>0</v>
      </c>
      <c r="C150" s="110"/>
      <c r="D150" s="110"/>
      <c r="E150" s="17"/>
      <c r="F150" s="17"/>
      <c r="G150" s="19"/>
      <c r="H150" s="20">
        <f t="shared" si="4"/>
        <v>0</v>
      </c>
      <c r="I150" s="17"/>
      <c r="J150" s="17"/>
      <c r="K150" s="19"/>
      <c r="L150" s="20">
        <f t="shared" si="5"/>
        <v>0</v>
      </c>
      <c r="M150" s="17"/>
      <c r="N150" s="17"/>
      <c r="O150" s="17"/>
      <c r="P150" s="20">
        <f t="shared" si="6"/>
        <v>0</v>
      </c>
    </row>
    <row r="151" spans="2:16" ht="14.1" customHeight="1" x14ac:dyDescent="0.3">
      <c r="B151" s="110">
        <f t="shared" si="8"/>
        <v>0</v>
      </c>
      <c r="C151" s="110"/>
      <c r="D151" s="110"/>
      <c r="E151" s="17"/>
      <c r="F151" s="17"/>
      <c r="G151" s="19"/>
      <c r="H151" s="20">
        <f t="shared" si="4"/>
        <v>0</v>
      </c>
      <c r="I151" s="17"/>
      <c r="J151" s="17"/>
      <c r="K151" s="19"/>
      <c r="L151" s="20">
        <f t="shared" si="5"/>
        <v>0</v>
      </c>
      <c r="M151" s="17"/>
      <c r="N151" s="17"/>
      <c r="O151" s="17"/>
      <c r="P151" s="20">
        <f t="shared" si="6"/>
        <v>0</v>
      </c>
    </row>
    <row r="152" spans="2:16" ht="14.1" customHeight="1" x14ac:dyDescent="0.3">
      <c r="B152" s="110">
        <f t="shared" si="8"/>
        <v>0</v>
      </c>
      <c r="C152" s="110"/>
      <c r="D152" s="110"/>
      <c r="E152" s="17"/>
      <c r="F152" s="17"/>
      <c r="G152" s="19"/>
      <c r="H152" s="20">
        <f t="shared" si="4"/>
        <v>0</v>
      </c>
      <c r="I152" s="17"/>
      <c r="J152" s="17"/>
      <c r="K152" s="19"/>
      <c r="L152" s="20">
        <f t="shared" si="5"/>
        <v>0</v>
      </c>
      <c r="M152" s="17"/>
      <c r="N152" s="17"/>
      <c r="O152" s="17"/>
      <c r="P152" s="20">
        <f t="shared" si="6"/>
        <v>0</v>
      </c>
    </row>
    <row r="153" spans="2:16" ht="14.1" customHeight="1" x14ac:dyDescent="0.3">
      <c r="B153" s="110">
        <f t="shared" si="8"/>
        <v>0</v>
      </c>
      <c r="C153" s="110"/>
      <c r="D153" s="110"/>
      <c r="E153" s="17"/>
      <c r="F153" s="17"/>
      <c r="G153" s="19"/>
      <c r="H153" s="20">
        <f t="shared" si="4"/>
        <v>0</v>
      </c>
      <c r="I153" s="17"/>
      <c r="J153" s="17"/>
      <c r="K153" s="19"/>
      <c r="L153" s="20">
        <f t="shared" si="5"/>
        <v>0</v>
      </c>
      <c r="M153" s="17"/>
      <c r="N153" s="17"/>
      <c r="O153" s="17"/>
      <c r="P153" s="20">
        <f t="shared" si="6"/>
        <v>0</v>
      </c>
    </row>
    <row r="154" spans="2:16" ht="14.1" customHeight="1" x14ac:dyDescent="0.3">
      <c r="B154" s="110">
        <f t="shared" si="8"/>
        <v>0</v>
      </c>
      <c r="C154" s="110"/>
      <c r="D154" s="110"/>
      <c r="E154" s="17"/>
      <c r="F154" s="17"/>
      <c r="G154" s="19"/>
      <c r="H154" s="20">
        <f t="shared" si="4"/>
        <v>0</v>
      </c>
      <c r="I154" s="17"/>
      <c r="J154" s="17"/>
      <c r="K154" s="19"/>
      <c r="L154" s="20">
        <f t="shared" si="5"/>
        <v>0</v>
      </c>
      <c r="M154" s="17"/>
      <c r="N154" s="17"/>
      <c r="O154" s="17"/>
      <c r="P154" s="20">
        <f t="shared" si="6"/>
        <v>0</v>
      </c>
    </row>
    <row r="155" spans="2:16" ht="14.1" customHeight="1" x14ac:dyDescent="0.3">
      <c r="B155" s="110">
        <f t="shared" si="8"/>
        <v>0</v>
      </c>
      <c r="C155" s="110"/>
      <c r="D155" s="110"/>
      <c r="E155" s="17"/>
      <c r="F155" s="17"/>
      <c r="G155" s="19"/>
      <c r="H155" s="20">
        <f t="shared" si="4"/>
        <v>0</v>
      </c>
      <c r="I155" s="17"/>
      <c r="J155" s="17"/>
      <c r="K155" s="19"/>
      <c r="L155" s="20">
        <f t="shared" si="5"/>
        <v>0</v>
      </c>
      <c r="M155" s="17"/>
      <c r="N155" s="17"/>
      <c r="O155" s="17"/>
      <c r="P155" s="20">
        <f t="shared" si="6"/>
        <v>0</v>
      </c>
    </row>
    <row r="156" spans="2:16" ht="14.1" customHeight="1" x14ac:dyDescent="0.3">
      <c r="B156" s="110">
        <f t="shared" si="8"/>
        <v>0</v>
      </c>
      <c r="C156" s="110"/>
      <c r="D156" s="110"/>
      <c r="E156" s="17"/>
      <c r="F156" s="17"/>
      <c r="G156" s="19"/>
      <c r="H156" s="20">
        <f t="shared" si="4"/>
        <v>0</v>
      </c>
      <c r="I156" s="17"/>
      <c r="J156" s="17"/>
      <c r="K156" s="19"/>
      <c r="L156" s="20">
        <f t="shared" si="5"/>
        <v>0</v>
      </c>
      <c r="M156" s="17"/>
      <c r="N156" s="17"/>
      <c r="O156" s="17"/>
      <c r="P156" s="20">
        <f t="shared" si="6"/>
        <v>0</v>
      </c>
    </row>
    <row r="157" spans="2:16" ht="14.1" customHeight="1" x14ac:dyDescent="0.3">
      <c r="B157" s="110">
        <f t="shared" si="8"/>
        <v>0</v>
      </c>
      <c r="C157" s="110"/>
      <c r="D157" s="110"/>
      <c r="E157" s="17"/>
      <c r="F157" s="17"/>
      <c r="G157" s="19"/>
      <c r="H157" s="20">
        <f t="shared" si="4"/>
        <v>0</v>
      </c>
      <c r="I157" s="17"/>
      <c r="J157" s="17"/>
      <c r="K157" s="19"/>
      <c r="L157" s="20">
        <f t="shared" si="5"/>
        <v>0</v>
      </c>
      <c r="M157" s="17"/>
      <c r="N157" s="17"/>
      <c r="O157" s="17"/>
      <c r="P157" s="20">
        <f t="shared" si="6"/>
        <v>0</v>
      </c>
    </row>
    <row r="158" spans="2:16" ht="14.1" customHeight="1" x14ac:dyDescent="0.3">
      <c r="B158" s="110">
        <f t="shared" si="8"/>
        <v>0</v>
      </c>
      <c r="C158" s="110"/>
      <c r="D158" s="110"/>
      <c r="E158" s="17"/>
      <c r="F158" s="17"/>
      <c r="G158" s="19"/>
      <c r="H158" s="20">
        <f t="shared" si="4"/>
        <v>0</v>
      </c>
      <c r="I158" s="17"/>
      <c r="J158" s="17"/>
      <c r="K158" s="19"/>
      <c r="L158" s="20">
        <f t="shared" si="5"/>
        <v>0</v>
      </c>
      <c r="M158" s="17"/>
      <c r="N158" s="17"/>
      <c r="O158" s="17"/>
      <c r="P158" s="20">
        <f t="shared" si="6"/>
        <v>0</v>
      </c>
    </row>
    <row r="159" spans="2:16" ht="14.1" customHeight="1" x14ac:dyDescent="0.3">
      <c r="B159" s="110">
        <f t="shared" si="8"/>
        <v>0</v>
      </c>
      <c r="C159" s="110"/>
      <c r="D159" s="110"/>
      <c r="E159" s="17"/>
      <c r="F159" s="17"/>
      <c r="G159" s="19"/>
      <c r="H159" s="20">
        <f t="shared" si="4"/>
        <v>0</v>
      </c>
      <c r="I159" s="17"/>
      <c r="J159" s="17"/>
      <c r="K159" s="19"/>
      <c r="L159" s="20">
        <f t="shared" si="5"/>
        <v>0</v>
      </c>
      <c r="M159" s="17"/>
      <c r="N159" s="17"/>
      <c r="O159" s="17"/>
      <c r="P159" s="20">
        <f t="shared" si="6"/>
        <v>0</v>
      </c>
    </row>
    <row r="160" spans="2:16" ht="14.1" customHeight="1" x14ac:dyDescent="0.3">
      <c r="B160" s="110">
        <f t="shared" si="8"/>
        <v>0</v>
      </c>
      <c r="C160" s="110"/>
      <c r="D160" s="110"/>
      <c r="E160" s="17"/>
      <c r="F160" s="17"/>
      <c r="G160" s="19"/>
      <c r="H160" s="20">
        <f t="shared" si="4"/>
        <v>0</v>
      </c>
      <c r="I160" s="17"/>
      <c r="J160" s="17"/>
      <c r="K160" s="19"/>
      <c r="L160" s="20">
        <f t="shared" si="5"/>
        <v>0</v>
      </c>
      <c r="M160" s="17"/>
      <c r="N160" s="17"/>
      <c r="O160" s="17"/>
      <c r="P160" s="20">
        <f t="shared" si="6"/>
        <v>0</v>
      </c>
    </row>
    <row r="161" spans="2:16" ht="14.1" customHeight="1" x14ac:dyDescent="0.3">
      <c r="B161" s="110">
        <f t="shared" si="8"/>
        <v>0</v>
      </c>
      <c r="C161" s="110"/>
      <c r="D161" s="110"/>
      <c r="E161" s="17"/>
      <c r="F161" s="17"/>
      <c r="G161" s="19"/>
      <c r="H161" s="20">
        <f t="shared" si="4"/>
        <v>0</v>
      </c>
      <c r="I161" s="17"/>
      <c r="J161" s="17"/>
      <c r="K161" s="19"/>
      <c r="L161" s="20">
        <f t="shared" si="5"/>
        <v>0</v>
      </c>
      <c r="M161" s="17"/>
      <c r="N161" s="17"/>
      <c r="O161" s="17"/>
      <c r="P161" s="20">
        <f t="shared" si="6"/>
        <v>0</v>
      </c>
    </row>
    <row r="162" spans="2:16" ht="14.1" customHeight="1" x14ac:dyDescent="0.3">
      <c r="B162" s="110">
        <f t="shared" si="8"/>
        <v>0</v>
      </c>
      <c r="C162" s="110"/>
      <c r="D162" s="110"/>
      <c r="E162" s="17"/>
      <c r="F162" s="17"/>
      <c r="G162" s="19"/>
      <c r="H162" s="20">
        <f t="shared" si="4"/>
        <v>0</v>
      </c>
      <c r="I162" s="17"/>
      <c r="J162" s="17"/>
      <c r="K162" s="19"/>
      <c r="L162" s="20">
        <f t="shared" si="5"/>
        <v>0</v>
      </c>
      <c r="M162" s="17"/>
      <c r="N162" s="17"/>
      <c r="O162" s="17"/>
      <c r="P162" s="20">
        <f t="shared" si="6"/>
        <v>0</v>
      </c>
    </row>
    <row r="163" spans="2:16" ht="14.1" customHeight="1" x14ac:dyDescent="0.3">
      <c r="B163" s="110">
        <f t="shared" si="8"/>
        <v>0</v>
      </c>
      <c r="C163" s="110"/>
      <c r="D163" s="110"/>
      <c r="E163" s="17"/>
      <c r="F163" s="17"/>
      <c r="G163" s="19"/>
      <c r="H163" s="20">
        <f t="shared" si="4"/>
        <v>0</v>
      </c>
      <c r="I163" s="17"/>
      <c r="J163" s="17"/>
      <c r="K163" s="19"/>
      <c r="L163" s="20">
        <f t="shared" si="5"/>
        <v>0</v>
      </c>
      <c r="M163" s="17"/>
      <c r="N163" s="17"/>
      <c r="O163" s="17"/>
      <c r="P163" s="20">
        <f t="shared" si="6"/>
        <v>0</v>
      </c>
    </row>
    <row r="164" spans="2:16" ht="14.1" customHeight="1" x14ac:dyDescent="0.3">
      <c r="B164" s="110">
        <f t="shared" ref="B164:B166" si="9">B139</f>
        <v>0</v>
      </c>
      <c r="C164" s="110"/>
      <c r="D164" s="110"/>
      <c r="E164" s="17"/>
      <c r="F164" s="17"/>
      <c r="G164" s="19"/>
      <c r="H164" s="20">
        <f t="shared" si="4"/>
        <v>0</v>
      </c>
      <c r="I164" s="17"/>
      <c r="J164" s="17"/>
      <c r="K164" s="19"/>
      <c r="L164" s="20">
        <f t="shared" si="5"/>
        <v>0</v>
      </c>
      <c r="M164" s="17"/>
      <c r="N164" s="17"/>
      <c r="O164" s="17"/>
      <c r="P164" s="20">
        <f t="shared" si="6"/>
        <v>0</v>
      </c>
    </row>
    <row r="165" spans="2:16" ht="14.1" customHeight="1" x14ac:dyDescent="0.3">
      <c r="B165" s="110">
        <f t="shared" si="9"/>
        <v>0</v>
      </c>
      <c r="C165" s="110"/>
      <c r="D165" s="110"/>
      <c r="E165" s="17"/>
      <c r="F165" s="17"/>
      <c r="G165" s="19"/>
      <c r="H165" s="20">
        <f t="shared" si="4"/>
        <v>0</v>
      </c>
      <c r="I165" s="17"/>
      <c r="J165" s="17"/>
      <c r="K165" s="19"/>
      <c r="L165" s="20">
        <f t="shared" si="5"/>
        <v>0</v>
      </c>
      <c r="M165" s="17"/>
      <c r="N165" s="17"/>
      <c r="O165" s="17"/>
      <c r="P165" s="20">
        <f t="shared" si="6"/>
        <v>0</v>
      </c>
    </row>
    <row r="166" spans="2:16" ht="14.1" customHeight="1" x14ac:dyDescent="0.3">
      <c r="B166" s="110">
        <f t="shared" si="9"/>
        <v>0</v>
      </c>
      <c r="C166" s="110"/>
      <c r="D166" s="110"/>
      <c r="E166" s="17"/>
      <c r="F166" s="17"/>
      <c r="G166" s="19"/>
      <c r="H166" s="20">
        <f t="shared" si="4"/>
        <v>0</v>
      </c>
      <c r="I166" s="17"/>
      <c r="J166" s="17"/>
      <c r="K166" s="19"/>
      <c r="L166" s="20">
        <f t="shared" si="5"/>
        <v>0</v>
      </c>
      <c r="M166" s="17"/>
      <c r="N166" s="17"/>
      <c r="O166" s="17"/>
      <c r="P166" s="20">
        <f t="shared" si="6"/>
        <v>0</v>
      </c>
    </row>
    <row r="167" spans="2:16" ht="14.1" customHeight="1" x14ac:dyDescent="0.3">
      <c r="B167" s="110">
        <f>B61</f>
        <v>0</v>
      </c>
      <c r="C167" s="110"/>
      <c r="D167" s="110"/>
      <c r="E167" s="17"/>
      <c r="F167" s="17"/>
      <c r="G167" s="19"/>
      <c r="H167" s="20">
        <f t="shared" si="4"/>
        <v>0</v>
      </c>
      <c r="I167" s="17"/>
      <c r="J167" s="17"/>
      <c r="K167" s="19"/>
      <c r="L167" s="20">
        <f t="shared" si="5"/>
        <v>0</v>
      </c>
      <c r="M167" s="17"/>
      <c r="N167" s="17"/>
      <c r="O167" s="17"/>
      <c r="P167" s="20">
        <f t="shared" si="6"/>
        <v>0</v>
      </c>
    </row>
    <row r="168" spans="2:16" ht="14.1" customHeight="1" x14ac:dyDescent="0.3">
      <c r="B168" s="110">
        <f t="shared" ref="B168:B195" si="10">B127</f>
        <v>0</v>
      </c>
      <c r="C168" s="110"/>
      <c r="D168" s="110"/>
      <c r="E168" s="17"/>
      <c r="F168" s="17"/>
      <c r="G168" s="19"/>
      <c r="H168" s="20">
        <f t="shared" si="4"/>
        <v>0</v>
      </c>
      <c r="I168" s="17"/>
      <c r="J168" s="17"/>
      <c r="K168" s="19"/>
      <c r="L168" s="20">
        <f t="shared" si="5"/>
        <v>0</v>
      </c>
      <c r="M168" s="17"/>
      <c r="N168" s="17"/>
      <c r="O168" s="17"/>
      <c r="P168" s="20">
        <f t="shared" si="6"/>
        <v>0</v>
      </c>
    </row>
    <row r="169" spans="2:16" ht="14.1" customHeight="1" x14ac:dyDescent="0.3">
      <c r="B169" s="110">
        <f t="shared" si="10"/>
        <v>0</v>
      </c>
      <c r="C169" s="110"/>
      <c r="D169" s="110"/>
      <c r="E169" s="17"/>
      <c r="F169" s="17"/>
      <c r="G169" s="19"/>
      <c r="H169" s="20">
        <f t="shared" si="4"/>
        <v>0</v>
      </c>
      <c r="I169" s="17"/>
      <c r="J169" s="17"/>
      <c r="K169" s="19"/>
      <c r="L169" s="20">
        <f t="shared" si="5"/>
        <v>0</v>
      </c>
      <c r="M169" s="17"/>
      <c r="N169" s="17"/>
      <c r="O169" s="17"/>
      <c r="P169" s="20">
        <f t="shared" si="6"/>
        <v>0</v>
      </c>
    </row>
    <row r="170" spans="2:16" ht="14.1" customHeight="1" x14ac:dyDescent="0.3">
      <c r="B170" s="110">
        <f t="shared" si="10"/>
        <v>0</v>
      </c>
      <c r="C170" s="110"/>
      <c r="D170" s="110"/>
      <c r="E170" s="17"/>
      <c r="F170" s="17"/>
      <c r="G170" s="19"/>
      <c r="H170" s="20">
        <f t="shared" si="4"/>
        <v>0</v>
      </c>
      <c r="I170" s="17"/>
      <c r="J170" s="17"/>
      <c r="K170" s="19"/>
      <c r="L170" s="20">
        <f t="shared" si="5"/>
        <v>0</v>
      </c>
      <c r="M170" s="17"/>
      <c r="N170" s="17"/>
      <c r="O170" s="17"/>
      <c r="P170" s="20">
        <f t="shared" si="6"/>
        <v>0</v>
      </c>
    </row>
    <row r="171" spans="2:16" ht="14.1" customHeight="1" x14ac:dyDescent="0.3">
      <c r="B171" s="110">
        <f t="shared" si="10"/>
        <v>0</v>
      </c>
      <c r="C171" s="110"/>
      <c r="D171" s="110"/>
      <c r="E171" s="17"/>
      <c r="F171" s="17"/>
      <c r="G171" s="19"/>
      <c r="H171" s="20">
        <f t="shared" si="4"/>
        <v>0</v>
      </c>
      <c r="I171" s="17"/>
      <c r="J171" s="17"/>
      <c r="K171" s="19"/>
      <c r="L171" s="20">
        <f t="shared" si="5"/>
        <v>0</v>
      </c>
      <c r="M171" s="17"/>
      <c r="N171" s="17"/>
      <c r="O171" s="17"/>
      <c r="P171" s="20">
        <f t="shared" si="6"/>
        <v>0</v>
      </c>
    </row>
    <row r="172" spans="2:16" ht="14.1" customHeight="1" x14ac:dyDescent="0.3">
      <c r="B172" s="110">
        <f t="shared" si="10"/>
        <v>0</v>
      </c>
      <c r="C172" s="110"/>
      <c r="D172" s="110"/>
      <c r="E172" s="17"/>
      <c r="F172" s="17"/>
      <c r="G172" s="19"/>
      <c r="H172" s="20">
        <f t="shared" si="4"/>
        <v>0</v>
      </c>
      <c r="I172" s="17"/>
      <c r="J172" s="17"/>
      <c r="K172" s="19"/>
      <c r="L172" s="20">
        <f t="shared" si="5"/>
        <v>0</v>
      </c>
      <c r="M172" s="17"/>
      <c r="N172" s="17"/>
      <c r="O172" s="17"/>
      <c r="P172" s="20">
        <f t="shared" si="6"/>
        <v>0</v>
      </c>
    </row>
    <row r="173" spans="2:16" ht="14.1" customHeight="1" x14ac:dyDescent="0.3">
      <c r="B173" s="110">
        <f t="shared" si="10"/>
        <v>0</v>
      </c>
      <c r="C173" s="110"/>
      <c r="D173" s="110"/>
      <c r="E173" s="17"/>
      <c r="F173" s="17"/>
      <c r="G173" s="19"/>
      <c r="H173" s="20">
        <f t="shared" si="4"/>
        <v>0</v>
      </c>
      <c r="I173" s="17"/>
      <c r="J173" s="17"/>
      <c r="K173" s="19"/>
      <c r="L173" s="20">
        <f t="shared" si="5"/>
        <v>0</v>
      </c>
      <c r="M173" s="17"/>
      <c r="N173" s="17"/>
      <c r="O173" s="17"/>
      <c r="P173" s="20">
        <f t="shared" si="6"/>
        <v>0</v>
      </c>
    </row>
    <row r="174" spans="2:16" ht="14.1" customHeight="1" x14ac:dyDescent="0.3">
      <c r="B174" s="110">
        <f t="shared" si="10"/>
        <v>0</v>
      </c>
      <c r="C174" s="110"/>
      <c r="D174" s="110"/>
      <c r="E174" s="17"/>
      <c r="F174" s="17"/>
      <c r="G174" s="19"/>
      <c r="H174" s="20">
        <f t="shared" si="4"/>
        <v>0</v>
      </c>
      <c r="I174" s="17"/>
      <c r="J174" s="17"/>
      <c r="K174" s="19"/>
      <c r="L174" s="20">
        <f t="shared" si="5"/>
        <v>0</v>
      </c>
      <c r="M174" s="17"/>
      <c r="N174" s="17"/>
      <c r="O174" s="17"/>
      <c r="P174" s="20">
        <f t="shared" si="6"/>
        <v>0</v>
      </c>
    </row>
    <row r="175" spans="2:16" ht="14.1" customHeight="1" x14ac:dyDescent="0.3">
      <c r="B175" s="110">
        <f t="shared" si="10"/>
        <v>0</v>
      </c>
      <c r="C175" s="110"/>
      <c r="D175" s="110"/>
      <c r="E175" s="17"/>
      <c r="F175" s="17"/>
      <c r="G175" s="19"/>
      <c r="H175" s="20">
        <f t="shared" si="4"/>
        <v>0</v>
      </c>
      <c r="I175" s="17"/>
      <c r="J175" s="17"/>
      <c r="K175" s="19"/>
      <c r="L175" s="20">
        <f t="shared" si="5"/>
        <v>0</v>
      </c>
      <c r="M175" s="17"/>
      <c r="N175" s="17"/>
      <c r="O175" s="17"/>
      <c r="P175" s="20">
        <f t="shared" si="6"/>
        <v>0</v>
      </c>
    </row>
    <row r="176" spans="2:16" ht="14.1" customHeight="1" x14ac:dyDescent="0.3">
      <c r="B176" s="110">
        <f t="shared" si="10"/>
        <v>0</v>
      </c>
      <c r="C176" s="110"/>
      <c r="D176" s="110"/>
      <c r="E176" s="17"/>
      <c r="F176" s="17"/>
      <c r="G176" s="19"/>
      <c r="H176" s="20">
        <f t="shared" si="4"/>
        <v>0</v>
      </c>
      <c r="I176" s="17"/>
      <c r="J176" s="17"/>
      <c r="K176" s="19"/>
      <c r="L176" s="20">
        <f t="shared" si="5"/>
        <v>0</v>
      </c>
      <c r="M176" s="17"/>
      <c r="N176" s="17"/>
      <c r="O176" s="17"/>
      <c r="P176" s="20">
        <f t="shared" si="6"/>
        <v>0</v>
      </c>
    </row>
    <row r="177" spans="2:16" ht="14.1" customHeight="1" x14ac:dyDescent="0.3">
      <c r="B177" s="110">
        <f t="shared" si="10"/>
        <v>0</v>
      </c>
      <c r="C177" s="110"/>
      <c r="D177" s="110"/>
      <c r="E177" s="17"/>
      <c r="F177" s="17"/>
      <c r="G177" s="19"/>
      <c r="H177" s="20">
        <f t="shared" si="4"/>
        <v>0</v>
      </c>
      <c r="I177" s="17"/>
      <c r="J177" s="17"/>
      <c r="K177" s="19"/>
      <c r="L177" s="20">
        <f t="shared" si="5"/>
        <v>0</v>
      </c>
      <c r="M177" s="17"/>
      <c r="N177" s="17"/>
      <c r="O177" s="17"/>
      <c r="P177" s="20">
        <f t="shared" si="6"/>
        <v>0</v>
      </c>
    </row>
    <row r="178" spans="2:16" ht="14.1" customHeight="1" x14ac:dyDescent="0.3">
      <c r="B178" s="110">
        <f t="shared" si="10"/>
        <v>0</v>
      </c>
      <c r="C178" s="110"/>
      <c r="D178" s="110"/>
      <c r="E178" s="17"/>
      <c r="F178" s="17"/>
      <c r="G178" s="19"/>
      <c r="H178" s="20">
        <f t="shared" si="4"/>
        <v>0</v>
      </c>
      <c r="I178" s="17"/>
      <c r="J178" s="17"/>
      <c r="K178" s="19"/>
      <c r="L178" s="20">
        <f t="shared" si="5"/>
        <v>0</v>
      </c>
      <c r="M178" s="17"/>
      <c r="N178" s="17"/>
      <c r="O178" s="17"/>
      <c r="P178" s="20">
        <f t="shared" si="6"/>
        <v>0</v>
      </c>
    </row>
    <row r="179" spans="2:16" ht="14.1" customHeight="1" x14ac:dyDescent="0.3">
      <c r="B179" s="110">
        <f t="shared" si="10"/>
        <v>0</v>
      </c>
      <c r="C179" s="110"/>
      <c r="D179" s="110"/>
      <c r="E179" s="17"/>
      <c r="F179" s="17"/>
      <c r="G179" s="19"/>
      <c r="H179" s="20">
        <f t="shared" si="4"/>
        <v>0</v>
      </c>
      <c r="I179" s="17"/>
      <c r="J179" s="17"/>
      <c r="K179" s="19"/>
      <c r="L179" s="20">
        <f t="shared" si="5"/>
        <v>0</v>
      </c>
      <c r="M179" s="17"/>
      <c r="N179" s="17"/>
      <c r="O179" s="17"/>
      <c r="P179" s="20">
        <f t="shared" si="6"/>
        <v>0</v>
      </c>
    </row>
    <row r="180" spans="2:16" ht="14.1" customHeight="1" x14ac:dyDescent="0.3">
      <c r="B180" s="110">
        <f t="shared" si="10"/>
        <v>0</v>
      </c>
      <c r="C180" s="110"/>
      <c r="D180" s="110"/>
      <c r="E180" s="17"/>
      <c r="F180" s="17"/>
      <c r="G180" s="19"/>
      <c r="H180" s="20">
        <f t="shared" si="4"/>
        <v>0</v>
      </c>
      <c r="I180" s="17"/>
      <c r="J180" s="17"/>
      <c r="K180" s="19"/>
      <c r="L180" s="20">
        <f t="shared" si="5"/>
        <v>0</v>
      </c>
      <c r="M180" s="17"/>
      <c r="N180" s="17"/>
      <c r="O180" s="17"/>
      <c r="P180" s="20">
        <f t="shared" si="6"/>
        <v>0</v>
      </c>
    </row>
    <row r="181" spans="2:16" ht="14.1" customHeight="1" x14ac:dyDescent="0.3">
      <c r="B181" s="110">
        <f>B75</f>
        <v>0</v>
      </c>
      <c r="C181" s="110"/>
      <c r="D181" s="110"/>
      <c r="E181" s="17"/>
      <c r="F181" s="17"/>
      <c r="G181" s="19"/>
      <c r="H181" s="20">
        <f t="shared" si="4"/>
        <v>0</v>
      </c>
      <c r="I181" s="17"/>
      <c r="J181" s="17"/>
      <c r="K181" s="19"/>
      <c r="L181" s="20">
        <f t="shared" si="5"/>
        <v>0</v>
      </c>
      <c r="M181" s="17"/>
      <c r="N181" s="17"/>
      <c r="O181" s="17"/>
      <c r="P181" s="20">
        <f t="shared" si="6"/>
        <v>0</v>
      </c>
    </row>
    <row r="182" spans="2:16" ht="14.1" customHeight="1" x14ac:dyDescent="0.3">
      <c r="B182" s="110">
        <f t="shared" si="10"/>
        <v>0</v>
      </c>
      <c r="C182" s="110"/>
      <c r="D182" s="110"/>
      <c r="E182" s="17"/>
      <c r="F182" s="17"/>
      <c r="G182" s="19"/>
      <c r="H182" s="20">
        <f t="shared" si="4"/>
        <v>0</v>
      </c>
      <c r="I182" s="17"/>
      <c r="J182" s="17"/>
      <c r="K182" s="19"/>
      <c r="L182" s="20">
        <f t="shared" si="5"/>
        <v>0</v>
      </c>
      <c r="M182" s="17"/>
      <c r="N182" s="17"/>
      <c r="O182" s="17"/>
      <c r="P182" s="20">
        <f t="shared" si="6"/>
        <v>0</v>
      </c>
    </row>
    <row r="183" spans="2:16" ht="14.1" customHeight="1" x14ac:dyDescent="0.3">
      <c r="B183" s="110">
        <f t="shared" si="10"/>
        <v>0</v>
      </c>
      <c r="C183" s="110"/>
      <c r="D183" s="110"/>
      <c r="E183" s="17"/>
      <c r="F183" s="17"/>
      <c r="G183" s="19"/>
      <c r="H183" s="20">
        <f t="shared" si="4"/>
        <v>0</v>
      </c>
      <c r="I183" s="17"/>
      <c r="J183" s="17"/>
      <c r="K183" s="19"/>
      <c r="L183" s="20">
        <f t="shared" si="5"/>
        <v>0</v>
      </c>
      <c r="M183" s="17"/>
      <c r="N183" s="17"/>
      <c r="O183" s="17"/>
      <c r="P183" s="20">
        <f t="shared" si="6"/>
        <v>0</v>
      </c>
    </row>
    <row r="184" spans="2:16" ht="14.1" customHeight="1" x14ac:dyDescent="0.3">
      <c r="B184" s="110">
        <f t="shared" si="10"/>
        <v>0</v>
      </c>
      <c r="C184" s="110"/>
      <c r="D184" s="110"/>
      <c r="E184" s="17"/>
      <c r="F184" s="17"/>
      <c r="G184" s="19"/>
      <c r="H184" s="20">
        <f t="shared" si="4"/>
        <v>0</v>
      </c>
      <c r="I184" s="17"/>
      <c r="J184" s="17"/>
      <c r="K184" s="19"/>
      <c r="L184" s="20">
        <f t="shared" si="5"/>
        <v>0</v>
      </c>
      <c r="M184" s="17"/>
      <c r="N184" s="17"/>
      <c r="O184" s="17"/>
      <c r="P184" s="20">
        <f t="shared" si="6"/>
        <v>0</v>
      </c>
    </row>
    <row r="185" spans="2:16" ht="14.1" customHeight="1" x14ac:dyDescent="0.3">
      <c r="B185" s="110">
        <f t="shared" si="10"/>
        <v>0</v>
      </c>
      <c r="C185" s="110"/>
      <c r="D185" s="110"/>
      <c r="E185" s="17"/>
      <c r="F185" s="17"/>
      <c r="G185" s="19"/>
      <c r="H185" s="20">
        <f t="shared" si="4"/>
        <v>0</v>
      </c>
      <c r="I185" s="17"/>
      <c r="J185" s="17"/>
      <c r="K185" s="19"/>
      <c r="L185" s="20">
        <f t="shared" si="5"/>
        <v>0</v>
      </c>
      <c r="M185" s="17"/>
      <c r="N185" s="17"/>
      <c r="O185" s="17"/>
      <c r="P185" s="20">
        <f t="shared" si="6"/>
        <v>0</v>
      </c>
    </row>
    <row r="186" spans="2:16" ht="14.1" customHeight="1" x14ac:dyDescent="0.3">
      <c r="B186" s="110">
        <f t="shared" si="10"/>
        <v>0</v>
      </c>
      <c r="C186" s="110"/>
      <c r="D186" s="110"/>
      <c r="E186" s="17"/>
      <c r="F186" s="17"/>
      <c r="G186" s="19"/>
      <c r="H186" s="20">
        <f t="shared" si="4"/>
        <v>0</v>
      </c>
      <c r="I186" s="17"/>
      <c r="J186" s="17"/>
      <c r="K186" s="19"/>
      <c r="L186" s="20">
        <f t="shared" si="5"/>
        <v>0</v>
      </c>
      <c r="M186" s="17"/>
      <c r="N186" s="17"/>
      <c r="O186" s="17"/>
      <c r="P186" s="20">
        <f t="shared" si="6"/>
        <v>0</v>
      </c>
    </row>
    <row r="187" spans="2:16" ht="14.1" customHeight="1" x14ac:dyDescent="0.3">
      <c r="B187" s="110">
        <f t="shared" si="10"/>
        <v>0</v>
      </c>
      <c r="C187" s="110"/>
      <c r="D187" s="110"/>
      <c r="E187" s="17"/>
      <c r="F187" s="17"/>
      <c r="G187" s="19"/>
      <c r="H187" s="20">
        <f t="shared" si="4"/>
        <v>0</v>
      </c>
      <c r="I187" s="17"/>
      <c r="J187" s="17"/>
      <c r="K187" s="19"/>
      <c r="L187" s="20">
        <f t="shared" si="5"/>
        <v>0</v>
      </c>
      <c r="M187" s="17"/>
      <c r="N187" s="17"/>
      <c r="O187" s="17"/>
      <c r="P187" s="20">
        <f t="shared" si="6"/>
        <v>0</v>
      </c>
    </row>
    <row r="188" spans="2:16" ht="14.1" customHeight="1" x14ac:dyDescent="0.3">
      <c r="B188" s="110">
        <f t="shared" si="10"/>
        <v>0</v>
      </c>
      <c r="C188" s="110"/>
      <c r="D188" s="110"/>
      <c r="E188" s="17"/>
      <c r="F188" s="17"/>
      <c r="G188" s="19"/>
      <c r="H188" s="20">
        <f t="shared" si="4"/>
        <v>0</v>
      </c>
      <c r="I188" s="17"/>
      <c r="J188" s="17"/>
      <c r="K188" s="19"/>
      <c r="L188" s="20">
        <f t="shared" si="5"/>
        <v>0</v>
      </c>
      <c r="M188" s="17"/>
      <c r="N188" s="17"/>
      <c r="O188" s="17"/>
      <c r="P188" s="20">
        <f t="shared" si="6"/>
        <v>0</v>
      </c>
    </row>
    <row r="189" spans="2:16" ht="14.1" customHeight="1" x14ac:dyDescent="0.3">
      <c r="B189" s="110">
        <f t="shared" si="10"/>
        <v>0</v>
      </c>
      <c r="C189" s="110"/>
      <c r="D189" s="110"/>
      <c r="E189" s="17"/>
      <c r="F189" s="17"/>
      <c r="G189" s="19"/>
      <c r="H189" s="20">
        <f t="shared" si="4"/>
        <v>0</v>
      </c>
      <c r="I189" s="17"/>
      <c r="J189" s="17"/>
      <c r="K189" s="19"/>
      <c r="L189" s="20">
        <f t="shared" si="5"/>
        <v>0</v>
      </c>
      <c r="M189" s="17"/>
      <c r="N189" s="17"/>
      <c r="O189" s="17"/>
      <c r="P189" s="20">
        <f t="shared" si="6"/>
        <v>0</v>
      </c>
    </row>
    <row r="190" spans="2:16" ht="14.1" customHeight="1" x14ac:dyDescent="0.3">
      <c r="B190" s="110">
        <f t="shared" si="10"/>
        <v>0</v>
      </c>
      <c r="C190" s="110"/>
      <c r="D190" s="110"/>
      <c r="E190" s="17"/>
      <c r="F190" s="17"/>
      <c r="G190" s="19"/>
      <c r="H190" s="20">
        <f t="shared" si="4"/>
        <v>0</v>
      </c>
      <c r="I190" s="17"/>
      <c r="J190" s="17"/>
      <c r="K190" s="19"/>
      <c r="L190" s="20">
        <f t="shared" si="5"/>
        <v>0</v>
      </c>
      <c r="M190" s="17"/>
      <c r="N190" s="17"/>
      <c r="O190" s="17"/>
      <c r="P190" s="20">
        <f t="shared" si="6"/>
        <v>0</v>
      </c>
    </row>
    <row r="191" spans="2:16" ht="14.1" customHeight="1" x14ac:dyDescent="0.3">
      <c r="B191" s="110">
        <f t="shared" si="10"/>
        <v>0</v>
      </c>
      <c r="C191" s="110"/>
      <c r="D191" s="110"/>
      <c r="E191" s="17"/>
      <c r="F191" s="17"/>
      <c r="G191" s="19"/>
      <c r="H191" s="20">
        <f t="shared" si="4"/>
        <v>0</v>
      </c>
      <c r="I191" s="17"/>
      <c r="J191" s="17"/>
      <c r="K191" s="19"/>
      <c r="L191" s="20">
        <f t="shared" si="5"/>
        <v>0</v>
      </c>
      <c r="M191" s="17"/>
      <c r="N191" s="17"/>
      <c r="O191" s="17"/>
      <c r="P191" s="20">
        <f t="shared" si="6"/>
        <v>0</v>
      </c>
    </row>
    <row r="192" spans="2:16" ht="14.1" customHeight="1" x14ac:dyDescent="0.3">
      <c r="B192" s="110">
        <f t="shared" si="10"/>
        <v>0</v>
      </c>
      <c r="C192" s="110"/>
      <c r="D192" s="110"/>
      <c r="E192" s="17"/>
      <c r="F192" s="17"/>
      <c r="G192" s="19"/>
      <c r="H192" s="20">
        <f t="shared" si="4"/>
        <v>0</v>
      </c>
      <c r="I192" s="17"/>
      <c r="J192" s="17"/>
      <c r="K192" s="19"/>
      <c r="L192" s="20">
        <f t="shared" si="5"/>
        <v>0</v>
      </c>
      <c r="M192" s="17"/>
      <c r="N192" s="17"/>
      <c r="O192" s="17"/>
      <c r="P192" s="20">
        <f t="shared" si="6"/>
        <v>0</v>
      </c>
    </row>
    <row r="193" spans="2:16" ht="14.1" customHeight="1" x14ac:dyDescent="0.3">
      <c r="B193" s="110">
        <f t="shared" si="10"/>
        <v>0</v>
      </c>
      <c r="C193" s="110"/>
      <c r="D193" s="110"/>
      <c r="E193" s="17"/>
      <c r="F193" s="17"/>
      <c r="G193" s="19"/>
      <c r="H193" s="20">
        <f t="shared" si="4"/>
        <v>0</v>
      </c>
      <c r="I193" s="17"/>
      <c r="J193" s="17"/>
      <c r="K193" s="19"/>
      <c r="L193" s="20">
        <f t="shared" si="5"/>
        <v>0</v>
      </c>
      <c r="M193" s="17"/>
      <c r="N193" s="17"/>
      <c r="O193" s="17"/>
      <c r="P193" s="20">
        <f t="shared" si="6"/>
        <v>0</v>
      </c>
    </row>
    <row r="194" spans="2:16" ht="14.1" customHeight="1" x14ac:dyDescent="0.3">
      <c r="B194" s="110">
        <f t="shared" si="10"/>
        <v>0</v>
      </c>
      <c r="C194" s="110"/>
      <c r="D194" s="110"/>
      <c r="E194" s="17"/>
      <c r="F194" s="17"/>
      <c r="G194" s="19"/>
      <c r="H194" s="20">
        <f t="shared" si="4"/>
        <v>0</v>
      </c>
      <c r="I194" s="17"/>
      <c r="J194" s="17"/>
      <c r="K194" s="19"/>
      <c r="L194" s="20">
        <f t="shared" si="5"/>
        <v>0</v>
      </c>
      <c r="M194" s="17"/>
      <c r="N194" s="17"/>
      <c r="O194" s="17"/>
      <c r="P194" s="20">
        <f t="shared" si="6"/>
        <v>0</v>
      </c>
    </row>
    <row r="195" spans="2:16" ht="14.1" customHeight="1" x14ac:dyDescent="0.3">
      <c r="B195" s="110">
        <f t="shared" si="10"/>
        <v>0</v>
      </c>
      <c r="C195" s="110"/>
      <c r="D195" s="110"/>
      <c r="E195" s="17"/>
      <c r="F195" s="17"/>
      <c r="G195" s="19"/>
      <c r="H195" s="20">
        <f t="shared" si="4"/>
        <v>0</v>
      </c>
      <c r="I195" s="17"/>
      <c r="J195" s="17"/>
      <c r="K195" s="19"/>
      <c r="L195" s="20">
        <f t="shared" si="5"/>
        <v>0</v>
      </c>
      <c r="M195" s="17"/>
      <c r="N195" s="17"/>
      <c r="O195" s="17"/>
      <c r="P195" s="20">
        <f t="shared" si="6"/>
        <v>0</v>
      </c>
    </row>
    <row r="196" spans="2:16" ht="14.1" customHeight="1" x14ac:dyDescent="0.3">
      <c r="B196" s="110">
        <f>B85</f>
        <v>0</v>
      </c>
      <c r="C196" s="110"/>
      <c r="D196" s="110"/>
      <c r="E196" s="17"/>
      <c r="F196" s="17"/>
      <c r="G196" s="19"/>
      <c r="H196" s="20">
        <f t="shared" si="4"/>
        <v>0</v>
      </c>
      <c r="I196" s="17"/>
      <c r="J196" s="17"/>
      <c r="K196" s="19"/>
      <c r="L196" s="20">
        <f t="shared" si="5"/>
        <v>0</v>
      </c>
      <c r="M196" s="17"/>
      <c r="N196" s="17"/>
      <c r="O196" s="17"/>
      <c r="P196" s="20">
        <f t="shared" si="6"/>
        <v>0</v>
      </c>
    </row>
    <row r="197" spans="2:16" ht="14.1" customHeight="1" x14ac:dyDescent="0.3">
      <c r="B197" s="110">
        <f>B124</f>
        <v>0</v>
      </c>
      <c r="C197" s="110"/>
      <c r="D197" s="110"/>
      <c r="E197" s="17"/>
      <c r="F197" s="17"/>
      <c r="G197" s="19"/>
      <c r="H197" s="20">
        <f t="shared" si="4"/>
        <v>0</v>
      </c>
      <c r="I197" s="17"/>
      <c r="J197" s="17"/>
      <c r="K197" s="19"/>
      <c r="L197" s="20">
        <f t="shared" si="5"/>
        <v>0</v>
      </c>
      <c r="M197" s="17"/>
      <c r="N197" s="17"/>
      <c r="O197" s="17"/>
      <c r="P197" s="20">
        <f t="shared" si="6"/>
        <v>0</v>
      </c>
    </row>
    <row r="198" spans="2:16" ht="14.1" customHeight="1" x14ac:dyDescent="0.3">
      <c r="B198" s="110">
        <f>B125</f>
        <v>0</v>
      </c>
      <c r="C198" s="110"/>
      <c r="D198" s="110"/>
      <c r="E198" s="17"/>
      <c r="F198" s="17"/>
      <c r="G198" s="19"/>
      <c r="H198" s="20">
        <f t="shared" si="4"/>
        <v>0</v>
      </c>
      <c r="I198" s="17"/>
      <c r="J198" s="17"/>
      <c r="K198" s="19"/>
      <c r="L198" s="20">
        <f t="shared" si="5"/>
        <v>0</v>
      </c>
      <c r="M198" s="17"/>
      <c r="N198" s="17"/>
      <c r="O198" s="17"/>
      <c r="P198" s="20">
        <f t="shared" si="6"/>
        <v>0</v>
      </c>
    </row>
    <row r="199" spans="2:16" ht="14.1" customHeight="1" x14ac:dyDescent="0.3">
      <c r="B199" s="110">
        <f>B126</f>
        <v>0</v>
      </c>
      <c r="C199" s="110"/>
      <c r="D199" s="110"/>
      <c r="E199" s="17"/>
      <c r="F199" s="17"/>
      <c r="G199" s="19"/>
      <c r="H199" s="20">
        <f t="shared" si="4"/>
        <v>0</v>
      </c>
      <c r="I199" s="17"/>
      <c r="J199" s="17"/>
      <c r="K199" s="19"/>
      <c r="L199" s="20">
        <f t="shared" si="5"/>
        <v>0</v>
      </c>
      <c r="M199" s="17"/>
      <c r="N199" s="17"/>
      <c r="O199" s="17"/>
      <c r="P199" s="20">
        <f t="shared" si="6"/>
        <v>0</v>
      </c>
    </row>
    <row r="200" spans="2:16" ht="14.1" customHeight="1" x14ac:dyDescent="0.3">
      <c r="B200" s="110">
        <f>B127</f>
        <v>0</v>
      </c>
      <c r="C200" s="110"/>
      <c r="D200" s="110"/>
      <c r="E200" s="17"/>
      <c r="F200" s="17"/>
      <c r="G200" s="19"/>
      <c r="H200" s="20">
        <f t="shared" si="4"/>
        <v>0</v>
      </c>
      <c r="I200" s="17"/>
      <c r="J200" s="17"/>
      <c r="K200" s="19"/>
      <c r="L200" s="20">
        <f t="shared" si="5"/>
        <v>0</v>
      </c>
      <c r="M200" s="17"/>
      <c r="N200" s="17"/>
      <c r="O200" s="17"/>
      <c r="P200" s="20">
        <f t="shared" si="6"/>
        <v>0</v>
      </c>
    </row>
    <row r="201" spans="2:16" ht="14.1" customHeight="1" x14ac:dyDescent="0.3">
      <c r="B201" s="110">
        <f>B128</f>
        <v>0</v>
      </c>
      <c r="C201" s="110"/>
      <c r="D201" s="110"/>
      <c r="E201" s="17"/>
      <c r="F201" s="17"/>
      <c r="G201" s="19"/>
      <c r="H201" s="20">
        <f t="shared" si="4"/>
        <v>0</v>
      </c>
      <c r="I201" s="17"/>
      <c r="J201" s="17"/>
      <c r="K201" s="19"/>
      <c r="L201" s="20">
        <f t="shared" si="5"/>
        <v>0</v>
      </c>
      <c r="M201" s="17"/>
      <c r="N201" s="17"/>
      <c r="O201" s="17"/>
      <c r="P201" s="20">
        <f t="shared" si="6"/>
        <v>0</v>
      </c>
    </row>
    <row r="202" spans="2:16" ht="14.1" customHeight="1" x14ac:dyDescent="0.3">
      <c r="B202" s="110">
        <f t="shared" ref="B202:B214" si="11">B161</f>
        <v>0</v>
      </c>
      <c r="C202" s="110"/>
      <c r="D202" s="110"/>
      <c r="E202" s="17"/>
      <c r="F202" s="17"/>
      <c r="G202" s="19"/>
      <c r="H202" s="20">
        <f t="shared" si="4"/>
        <v>0</v>
      </c>
      <c r="I202" s="17"/>
      <c r="J202" s="17"/>
      <c r="K202" s="19"/>
      <c r="L202" s="20">
        <f t="shared" si="5"/>
        <v>0</v>
      </c>
      <c r="M202" s="17"/>
      <c r="N202" s="17"/>
      <c r="O202" s="17"/>
      <c r="P202" s="20">
        <f t="shared" si="6"/>
        <v>0</v>
      </c>
    </row>
    <row r="203" spans="2:16" ht="14.1" customHeight="1" x14ac:dyDescent="0.3">
      <c r="B203" s="110">
        <f t="shared" si="11"/>
        <v>0</v>
      </c>
      <c r="C203" s="110"/>
      <c r="D203" s="110"/>
      <c r="E203" s="17"/>
      <c r="F203" s="17"/>
      <c r="G203" s="19"/>
      <c r="H203" s="20">
        <f t="shared" si="4"/>
        <v>0</v>
      </c>
      <c r="I203" s="17"/>
      <c r="J203" s="17"/>
      <c r="K203" s="19"/>
      <c r="L203" s="20">
        <f t="shared" si="5"/>
        <v>0</v>
      </c>
      <c r="M203" s="17"/>
      <c r="N203" s="17"/>
      <c r="O203" s="17"/>
      <c r="P203" s="20">
        <f t="shared" si="6"/>
        <v>0</v>
      </c>
    </row>
    <row r="204" spans="2:16" ht="14.1" customHeight="1" x14ac:dyDescent="0.3">
      <c r="B204" s="110">
        <f t="shared" si="11"/>
        <v>0</v>
      </c>
      <c r="C204" s="110"/>
      <c r="D204" s="110"/>
      <c r="E204" s="17"/>
      <c r="F204" s="17"/>
      <c r="G204" s="19"/>
      <c r="H204" s="20">
        <f t="shared" si="4"/>
        <v>0</v>
      </c>
      <c r="I204" s="17"/>
      <c r="J204" s="17"/>
      <c r="K204" s="19"/>
      <c r="L204" s="20">
        <f t="shared" si="5"/>
        <v>0</v>
      </c>
      <c r="M204" s="17"/>
      <c r="N204" s="17"/>
      <c r="O204" s="17"/>
      <c r="P204" s="20">
        <f t="shared" si="6"/>
        <v>0</v>
      </c>
    </row>
    <row r="205" spans="2:16" ht="14.1" customHeight="1" x14ac:dyDescent="0.3">
      <c r="B205" s="110">
        <f t="shared" si="11"/>
        <v>0</v>
      </c>
      <c r="C205" s="110"/>
      <c r="D205" s="110"/>
      <c r="E205" s="17"/>
      <c r="F205" s="17"/>
      <c r="G205" s="19"/>
      <c r="H205" s="20">
        <f t="shared" si="4"/>
        <v>0</v>
      </c>
      <c r="I205" s="17"/>
      <c r="J205" s="17"/>
      <c r="K205" s="19"/>
      <c r="L205" s="20">
        <f t="shared" si="5"/>
        <v>0</v>
      </c>
      <c r="M205" s="17"/>
      <c r="N205" s="17"/>
      <c r="O205" s="17"/>
      <c r="P205" s="20">
        <f t="shared" si="6"/>
        <v>0</v>
      </c>
    </row>
    <row r="206" spans="2:16" ht="14.1" customHeight="1" x14ac:dyDescent="0.3">
      <c r="B206" s="110">
        <f t="shared" si="11"/>
        <v>0</v>
      </c>
      <c r="C206" s="110"/>
      <c r="D206" s="110"/>
      <c r="E206" s="17"/>
      <c r="F206" s="17"/>
      <c r="G206" s="19"/>
      <c r="H206" s="20">
        <f t="shared" si="4"/>
        <v>0</v>
      </c>
      <c r="I206" s="17"/>
      <c r="J206" s="17"/>
      <c r="K206" s="19"/>
      <c r="L206" s="20">
        <f t="shared" si="5"/>
        <v>0</v>
      </c>
      <c r="M206" s="17"/>
      <c r="N206" s="17"/>
      <c r="O206" s="17"/>
      <c r="P206" s="20">
        <f t="shared" si="6"/>
        <v>0</v>
      </c>
    </row>
    <row r="207" spans="2:16" ht="14.1" customHeight="1" x14ac:dyDescent="0.3">
      <c r="B207" s="110">
        <f t="shared" si="11"/>
        <v>0</v>
      </c>
      <c r="C207" s="110"/>
      <c r="D207" s="110"/>
      <c r="E207" s="17"/>
      <c r="F207" s="17"/>
      <c r="G207" s="19"/>
      <c r="H207" s="20">
        <f t="shared" si="4"/>
        <v>0</v>
      </c>
      <c r="I207" s="17"/>
      <c r="J207" s="17"/>
      <c r="K207" s="19"/>
      <c r="L207" s="20">
        <f t="shared" si="5"/>
        <v>0</v>
      </c>
      <c r="M207" s="17"/>
      <c r="N207" s="17"/>
      <c r="O207" s="17"/>
      <c r="P207" s="20">
        <f t="shared" si="6"/>
        <v>0</v>
      </c>
    </row>
    <row r="208" spans="2:16" ht="14.1" customHeight="1" x14ac:dyDescent="0.3">
      <c r="B208" s="110">
        <f t="shared" si="11"/>
        <v>0</v>
      </c>
      <c r="C208" s="110"/>
      <c r="D208" s="110"/>
      <c r="E208" s="17"/>
      <c r="F208" s="17"/>
      <c r="G208" s="19"/>
      <c r="H208" s="20">
        <f t="shared" si="4"/>
        <v>0</v>
      </c>
      <c r="I208" s="17"/>
      <c r="J208" s="17"/>
      <c r="K208" s="19"/>
      <c r="L208" s="20">
        <f t="shared" si="5"/>
        <v>0</v>
      </c>
      <c r="M208" s="17"/>
      <c r="N208" s="17"/>
      <c r="O208" s="17"/>
      <c r="P208" s="20">
        <f t="shared" si="6"/>
        <v>0</v>
      </c>
    </row>
    <row r="209" spans="2:17" ht="14.1" customHeight="1" x14ac:dyDescent="0.3">
      <c r="B209" s="110">
        <f t="shared" si="11"/>
        <v>0</v>
      </c>
      <c r="C209" s="110"/>
      <c r="D209" s="110"/>
      <c r="E209" s="17"/>
      <c r="F209" s="17"/>
      <c r="G209" s="19"/>
      <c r="H209" s="20">
        <f t="shared" si="4"/>
        <v>0</v>
      </c>
      <c r="I209" s="17"/>
      <c r="J209" s="17"/>
      <c r="K209" s="19"/>
      <c r="L209" s="20">
        <f t="shared" si="5"/>
        <v>0</v>
      </c>
      <c r="M209" s="17"/>
      <c r="N209" s="17"/>
      <c r="O209" s="17"/>
      <c r="P209" s="20">
        <f t="shared" si="6"/>
        <v>0</v>
      </c>
    </row>
    <row r="210" spans="2:17" ht="14.1" customHeight="1" x14ac:dyDescent="0.3">
      <c r="B210" s="110">
        <f t="shared" si="11"/>
        <v>0</v>
      </c>
      <c r="C210" s="110"/>
      <c r="D210" s="110"/>
      <c r="E210" s="17"/>
      <c r="F210" s="17"/>
      <c r="G210" s="19"/>
      <c r="H210" s="20">
        <f t="shared" si="4"/>
        <v>0</v>
      </c>
      <c r="I210" s="17"/>
      <c r="J210" s="17"/>
      <c r="K210" s="19"/>
      <c r="L210" s="20">
        <f t="shared" si="5"/>
        <v>0</v>
      </c>
      <c r="M210" s="17"/>
      <c r="N210" s="17"/>
      <c r="O210" s="17"/>
      <c r="P210" s="20">
        <f t="shared" si="6"/>
        <v>0</v>
      </c>
    </row>
    <row r="211" spans="2:17" ht="14.1" customHeight="1" x14ac:dyDescent="0.3">
      <c r="B211" s="110">
        <f t="shared" si="11"/>
        <v>0</v>
      </c>
      <c r="C211" s="110"/>
      <c r="D211" s="110"/>
      <c r="E211" s="17"/>
      <c r="F211" s="17"/>
      <c r="G211" s="19"/>
      <c r="H211" s="20">
        <f t="shared" si="4"/>
        <v>0</v>
      </c>
      <c r="I211" s="17"/>
      <c r="J211" s="17"/>
      <c r="K211" s="19"/>
      <c r="L211" s="20">
        <f t="shared" si="5"/>
        <v>0</v>
      </c>
      <c r="M211" s="17"/>
      <c r="N211" s="17"/>
      <c r="O211" s="17"/>
      <c r="P211" s="20">
        <f t="shared" si="6"/>
        <v>0</v>
      </c>
    </row>
    <row r="212" spans="2:17" ht="14.1" customHeight="1" x14ac:dyDescent="0.3">
      <c r="B212" s="110">
        <f t="shared" si="11"/>
        <v>0</v>
      </c>
      <c r="C212" s="110"/>
      <c r="D212" s="110"/>
      <c r="E212" s="17"/>
      <c r="F212" s="17"/>
      <c r="G212" s="19"/>
      <c r="H212" s="20">
        <f t="shared" si="4"/>
        <v>0</v>
      </c>
      <c r="I212" s="17"/>
      <c r="J212" s="17"/>
      <c r="K212" s="19"/>
      <c r="L212" s="20">
        <f t="shared" si="5"/>
        <v>0</v>
      </c>
      <c r="M212" s="17"/>
      <c r="N212" s="17"/>
      <c r="O212" s="17"/>
      <c r="P212" s="20">
        <f t="shared" si="6"/>
        <v>0</v>
      </c>
    </row>
    <row r="213" spans="2:17" ht="14.1" customHeight="1" x14ac:dyDescent="0.3">
      <c r="B213" s="110">
        <f t="shared" si="11"/>
        <v>0</v>
      </c>
      <c r="C213" s="110"/>
      <c r="D213" s="110"/>
      <c r="E213" s="17"/>
      <c r="F213" s="17"/>
      <c r="G213" s="19"/>
      <c r="H213" s="20">
        <f t="shared" si="4"/>
        <v>0</v>
      </c>
      <c r="I213" s="17"/>
      <c r="J213" s="17"/>
      <c r="K213" s="19"/>
      <c r="L213" s="20">
        <f t="shared" si="5"/>
        <v>0</v>
      </c>
      <c r="M213" s="17"/>
      <c r="N213" s="17"/>
      <c r="O213" s="17"/>
      <c r="P213" s="20">
        <f t="shared" si="6"/>
        <v>0</v>
      </c>
    </row>
    <row r="214" spans="2:17" ht="14.1" customHeight="1" x14ac:dyDescent="0.3">
      <c r="B214" s="110">
        <f t="shared" si="11"/>
        <v>0</v>
      </c>
      <c r="C214" s="110"/>
      <c r="D214" s="110"/>
      <c r="E214" s="17"/>
      <c r="F214" s="17"/>
      <c r="G214" s="19"/>
      <c r="H214" s="20">
        <f t="shared" si="4"/>
        <v>0</v>
      </c>
      <c r="I214" s="17"/>
      <c r="J214" s="17"/>
      <c r="K214" s="19"/>
      <c r="L214" s="20">
        <f t="shared" si="5"/>
        <v>0</v>
      </c>
      <c r="M214" s="17"/>
      <c r="N214" s="17"/>
      <c r="O214" s="17"/>
      <c r="P214" s="20">
        <f t="shared" si="6"/>
        <v>0</v>
      </c>
    </row>
    <row r="215" spans="2:17" ht="14.1" customHeight="1" x14ac:dyDescent="0.3">
      <c r="B215" s="110">
        <f>B104</f>
        <v>0</v>
      </c>
      <c r="C215" s="110"/>
      <c r="D215" s="110"/>
      <c r="E215" s="17"/>
      <c r="F215" s="17"/>
      <c r="G215" s="19"/>
      <c r="H215" s="20">
        <f t="shared" si="4"/>
        <v>0</v>
      </c>
      <c r="I215" s="17"/>
      <c r="J215" s="17"/>
      <c r="K215" s="19"/>
      <c r="L215" s="20">
        <f t="shared" si="5"/>
        <v>0</v>
      </c>
      <c r="M215" s="17"/>
      <c r="N215" s="17"/>
      <c r="O215" s="17"/>
      <c r="P215" s="20">
        <f t="shared" si="6"/>
        <v>0</v>
      </c>
    </row>
    <row r="216" spans="2:17" ht="14.1" customHeight="1" x14ac:dyDescent="0.3">
      <c r="B216" s="110">
        <f>B143</f>
        <v>0</v>
      </c>
      <c r="C216" s="110"/>
      <c r="D216" s="110"/>
      <c r="E216" s="17"/>
      <c r="F216" s="17"/>
      <c r="G216" s="19"/>
      <c r="H216" s="20">
        <f t="shared" si="4"/>
        <v>0</v>
      </c>
      <c r="I216" s="17"/>
      <c r="J216" s="17"/>
      <c r="K216" s="19"/>
      <c r="L216" s="20">
        <f t="shared" si="5"/>
        <v>0</v>
      </c>
      <c r="M216" s="17"/>
      <c r="N216" s="17"/>
      <c r="O216" s="17"/>
      <c r="P216" s="20">
        <f t="shared" si="6"/>
        <v>0</v>
      </c>
    </row>
    <row r="217" spans="2:17" ht="14.1" customHeight="1" x14ac:dyDescent="0.3">
      <c r="B217" s="110">
        <f>B144</f>
        <v>0</v>
      </c>
      <c r="C217" s="110"/>
      <c r="D217" s="110"/>
      <c r="E217" s="17"/>
      <c r="F217" s="17"/>
      <c r="G217" s="19"/>
      <c r="H217" s="20">
        <f t="shared" si="4"/>
        <v>0</v>
      </c>
      <c r="I217" s="17"/>
      <c r="J217" s="17"/>
      <c r="K217" s="19"/>
      <c r="L217" s="20">
        <f t="shared" si="5"/>
        <v>0</v>
      </c>
      <c r="M217" s="17"/>
      <c r="N217" s="17"/>
      <c r="O217" s="17"/>
      <c r="P217" s="20">
        <f t="shared" si="6"/>
        <v>0</v>
      </c>
    </row>
    <row r="218" spans="2:17" ht="14.1" customHeight="1" x14ac:dyDescent="0.3">
      <c r="B218" s="110">
        <f>B145</f>
        <v>0</v>
      </c>
      <c r="C218" s="110"/>
      <c r="D218" s="110"/>
      <c r="E218" s="17"/>
      <c r="F218" s="17"/>
      <c r="G218" s="19"/>
      <c r="H218" s="20">
        <f t="shared" si="4"/>
        <v>0</v>
      </c>
      <c r="I218" s="17"/>
      <c r="J218" s="17"/>
      <c r="K218" s="19"/>
      <c r="L218" s="20">
        <f t="shared" si="5"/>
        <v>0</v>
      </c>
      <c r="M218" s="17"/>
      <c r="N218" s="17"/>
      <c r="O218" s="17"/>
      <c r="P218" s="20">
        <f t="shared" si="6"/>
        <v>0</v>
      </c>
    </row>
    <row r="219" spans="2:17" ht="14.1" customHeight="1" x14ac:dyDescent="0.3">
      <c r="B219" s="110">
        <f>B146</f>
        <v>0</v>
      </c>
      <c r="C219" s="110"/>
      <c r="D219" s="110"/>
      <c r="E219" s="17"/>
      <c r="F219" s="17"/>
      <c r="G219" s="19"/>
      <c r="H219" s="20">
        <f t="shared" si="4"/>
        <v>0</v>
      </c>
      <c r="I219" s="17"/>
      <c r="J219" s="17"/>
      <c r="K219" s="19"/>
      <c r="L219" s="20">
        <f t="shared" si="5"/>
        <v>0</v>
      </c>
      <c r="M219" s="17"/>
      <c r="N219" s="17"/>
      <c r="O219" s="17"/>
      <c r="P219" s="20">
        <f t="shared" si="6"/>
        <v>0</v>
      </c>
    </row>
    <row r="220" spans="2:17" ht="14.1" customHeight="1" x14ac:dyDescent="0.3">
      <c r="B220" s="110">
        <f>B147</f>
        <v>0</v>
      </c>
      <c r="C220" s="110"/>
      <c r="D220" s="110"/>
      <c r="E220" s="17"/>
      <c r="F220" s="17"/>
      <c r="G220" s="19"/>
      <c r="H220" s="20">
        <f t="shared" si="4"/>
        <v>0</v>
      </c>
      <c r="I220" s="17"/>
      <c r="J220" s="17"/>
      <c r="K220" s="19"/>
      <c r="L220" s="20">
        <f t="shared" si="5"/>
        <v>0</v>
      </c>
      <c r="M220" s="17"/>
      <c r="N220" s="17"/>
      <c r="O220" s="17"/>
      <c r="P220" s="20">
        <f t="shared" si="6"/>
        <v>0</v>
      </c>
    </row>
    <row r="221" spans="2:17" ht="14.1" customHeight="1" x14ac:dyDescent="0.3">
      <c r="B221" s="110">
        <f>B108</f>
        <v>0</v>
      </c>
      <c r="C221" s="110"/>
      <c r="D221" s="110"/>
      <c r="E221" s="17"/>
      <c r="F221" s="17"/>
      <c r="G221" s="19"/>
      <c r="H221" s="20">
        <f t="shared" si="4"/>
        <v>0</v>
      </c>
      <c r="I221" s="17"/>
      <c r="J221" s="17"/>
      <c r="K221" s="19"/>
      <c r="L221" s="20">
        <f t="shared" si="5"/>
        <v>0</v>
      </c>
      <c r="M221" s="17"/>
      <c r="N221" s="17"/>
      <c r="O221" s="17"/>
      <c r="P221" s="20">
        <f t="shared" si="6"/>
        <v>0</v>
      </c>
    </row>
    <row r="222" spans="2:17" ht="14.1" customHeight="1" x14ac:dyDescent="0.3">
      <c r="B222" s="22"/>
      <c r="C222" s="21"/>
    </row>
    <row r="224" spans="2:17" ht="14.1" customHeight="1" x14ac:dyDescent="0.3">
      <c r="B224" s="15"/>
      <c r="C224" s="15"/>
      <c r="D224" s="15"/>
      <c r="E224" s="116" t="s">
        <v>19</v>
      </c>
      <c r="F224" s="124" t="s">
        <v>20</v>
      </c>
      <c r="G224" s="124" t="s">
        <v>21</v>
      </c>
      <c r="H224" s="125" t="s">
        <v>22</v>
      </c>
      <c r="I224" s="124" t="s">
        <v>23</v>
      </c>
      <c r="J224" s="116" t="s">
        <v>24</v>
      </c>
      <c r="K224" s="116" t="s">
        <v>25</v>
      </c>
      <c r="L224" s="116" t="s">
        <v>26</v>
      </c>
      <c r="M224" s="116"/>
      <c r="N224" s="116"/>
      <c r="O224" s="116" t="s">
        <v>27</v>
      </c>
      <c r="P224" s="116"/>
      <c r="Q224" s="116"/>
    </row>
    <row r="225" spans="2:17" ht="14.1" customHeight="1" x14ac:dyDescent="0.3">
      <c r="B225" s="116" t="s">
        <v>5</v>
      </c>
      <c r="C225" s="116"/>
      <c r="D225" s="116"/>
      <c r="E225" s="116"/>
      <c r="F225" s="124"/>
      <c r="G225" s="124"/>
      <c r="H225" s="126"/>
      <c r="I225" s="124"/>
      <c r="J225" s="116"/>
      <c r="K225" s="116"/>
      <c r="L225" s="116"/>
      <c r="M225" s="116"/>
      <c r="N225" s="116"/>
      <c r="O225" s="116"/>
      <c r="P225" s="116"/>
      <c r="Q225" s="116"/>
    </row>
    <row r="226" spans="2:17" ht="14.1" customHeight="1" x14ac:dyDescent="0.3">
      <c r="B226" s="116"/>
      <c r="C226" s="116"/>
      <c r="D226" s="116"/>
      <c r="E226" s="17" t="s">
        <v>28</v>
      </c>
      <c r="F226" s="17" t="s">
        <v>28</v>
      </c>
      <c r="G226" s="17" t="s">
        <v>28</v>
      </c>
      <c r="H226" s="17" t="s">
        <v>28</v>
      </c>
      <c r="I226" s="17" t="s">
        <v>28</v>
      </c>
      <c r="J226" s="17" t="s">
        <v>13</v>
      </c>
      <c r="K226" s="17" t="s">
        <v>13</v>
      </c>
      <c r="L226" s="111" t="s">
        <v>11</v>
      </c>
      <c r="M226" s="111"/>
      <c r="N226" s="24" t="s">
        <v>28</v>
      </c>
      <c r="O226" s="111" t="s">
        <v>11</v>
      </c>
      <c r="P226" s="111"/>
      <c r="Q226" s="24" t="s">
        <v>28</v>
      </c>
    </row>
    <row r="227" spans="2:17" ht="14.1" customHeight="1" x14ac:dyDescent="0.3">
      <c r="B227" s="110">
        <f t="shared" ref="B227:B242" si="12">B8</f>
        <v>0</v>
      </c>
      <c r="C227" s="110"/>
      <c r="D227" s="110"/>
      <c r="E227" s="17"/>
      <c r="F227" s="17"/>
      <c r="G227" s="17"/>
      <c r="H227" s="17"/>
      <c r="I227" s="17"/>
      <c r="J227" s="17"/>
      <c r="K227" s="17"/>
      <c r="L227" s="111"/>
      <c r="M227" s="111"/>
      <c r="N227" s="24"/>
      <c r="O227" s="111"/>
      <c r="P227" s="111"/>
      <c r="Q227" s="24"/>
    </row>
    <row r="228" spans="2:17" ht="14.1" customHeight="1" x14ac:dyDescent="0.3">
      <c r="B228" s="110">
        <f t="shared" si="12"/>
        <v>0</v>
      </c>
      <c r="C228" s="110"/>
      <c r="D228" s="110"/>
      <c r="E228" s="17"/>
      <c r="F228" s="17"/>
      <c r="G228" s="17"/>
      <c r="H228" s="17"/>
      <c r="I228" s="17"/>
      <c r="J228" s="17"/>
      <c r="K228" s="17"/>
      <c r="L228" s="111"/>
      <c r="M228" s="111"/>
      <c r="N228" s="24"/>
      <c r="O228" s="111"/>
      <c r="P228" s="111"/>
      <c r="Q228" s="24"/>
    </row>
    <row r="229" spans="2:17" ht="14.1" customHeight="1" x14ac:dyDescent="0.3">
      <c r="B229" s="110">
        <f t="shared" si="12"/>
        <v>0</v>
      </c>
      <c r="C229" s="110"/>
      <c r="D229" s="110"/>
      <c r="E229" s="17"/>
      <c r="F229" s="17"/>
      <c r="G229" s="17"/>
      <c r="H229" s="17"/>
      <c r="I229" s="17"/>
      <c r="J229" s="17"/>
      <c r="K229" s="17"/>
      <c r="L229" s="111"/>
      <c r="M229" s="111"/>
      <c r="N229" s="24"/>
      <c r="O229" s="111"/>
      <c r="P229" s="111"/>
      <c r="Q229" s="24"/>
    </row>
    <row r="230" spans="2:17" ht="14.1" customHeight="1" x14ac:dyDescent="0.3">
      <c r="B230" s="110">
        <f t="shared" si="12"/>
        <v>0</v>
      </c>
      <c r="C230" s="110"/>
      <c r="D230" s="110"/>
      <c r="E230" s="17"/>
      <c r="F230" s="17"/>
      <c r="G230" s="17"/>
      <c r="H230" s="17"/>
      <c r="I230" s="17"/>
      <c r="J230" s="17"/>
      <c r="K230" s="17"/>
      <c r="L230" s="111"/>
      <c r="M230" s="111"/>
      <c r="N230" s="24"/>
      <c r="O230" s="111"/>
      <c r="P230" s="111"/>
      <c r="Q230" s="24"/>
    </row>
    <row r="231" spans="2:17" ht="14.1" customHeight="1" x14ac:dyDescent="0.3">
      <c r="B231" s="110">
        <f t="shared" si="12"/>
        <v>0</v>
      </c>
      <c r="C231" s="110"/>
      <c r="D231" s="110"/>
      <c r="E231" s="17"/>
      <c r="F231" s="17"/>
      <c r="G231" s="17"/>
      <c r="H231" s="17"/>
      <c r="I231" s="17"/>
      <c r="J231" s="17"/>
      <c r="K231" s="17"/>
      <c r="L231" s="111"/>
      <c r="M231" s="111"/>
      <c r="N231" s="24"/>
      <c r="O231" s="111"/>
      <c r="P231" s="111"/>
      <c r="Q231" s="24"/>
    </row>
    <row r="232" spans="2:17" ht="14.1" customHeight="1" x14ac:dyDescent="0.3">
      <c r="B232" s="110">
        <f t="shared" si="12"/>
        <v>0</v>
      </c>
      <c r="C232" s="110"/>
      <c r="D232" s="110"/>
      <c r="E232" s="17"/>
      <c r="F232" s="17"/>
      <c r="G232" s="17"/>
      <c r="H232" s="17"/>
      <c r="I232" s="17"/>
      <c r="J232" s="17"/>
      <c r="K232" s="17"/>
      <c r="L232" s="111"/>
      <c r="M232" s="111"/>
      <c r="N232" s="24"/>
      <c r="O232" s="111"/>
      <c r="P232" s="111"/>
      <c r="Q232" s="24"/>
    </row>
    <row r="233" spans="2:17" ht="14.1" customHeight="1" x14ac:dyDescent="0.3">
      <c r="B233" s="110">
        <f t="shared" si="12"/>
        <v>0</v>
      </c>
      <c r="C233" s="110"/>
      <c r="D233" s="110"/>
      <c r="E233" s="17"/>
      <c r="F233" s="17"/>
      <c r="G233" s="17"/>
      <c r="H233" s="17"/>
      <c r="I233" s="17"/>
      <c r="J233" s="17"/>
      <c r="K233" s="17"/>
      <c r="L233" s="111"/>
      <c r="M233" s="111"/>
      <c r="N233" s="24"/>
      <c r="O233" s="111"/>
      <c r="P233" s="111"/>
      <c r="Q233" s="24"/>
    </row>
    <row r="234" spans="2:17" ht="14.1" customHeight="1" x14ac:dyDescent="0.3">
      <c r="B234" s="110">
        <f t="shared" si="12"/>
        <v>0</v>
      </c>
      <c r="C234" s="110"/>
      <c r="D234" s="110"/>
      <c r="E234" s="17"/>
      <c r="F234" s="17"/>
      <c r="G234" s="17"/>
      <c r="H234" s="17"/>
      <c r="I234" s="17"/>
      <c r="J234" s="17"/>
      <c r="K234" s="17"/>
      <c r="L234" s="111"/>
      <c r="M234" s="111"/>
      <c r="N234" s="24"/>
      <c r="O234" s="111"/>
      <c r="P234" s="111"/>
      <c r="Q234" s="24"/>
    </row>
    <row r="235" spans="2:17" ht="14.1" customHeight="1" x14ac:dyDescent="0.3">
      <c r="B235" s="110">
        <f t="shared" si="12"/>
        <v>0</v>
      </c>
      <c r="C235" s="110"/>
      <c r="D235" s="110"/>
      <c r="E235" s="17"/>
      <c r="F235" s="17"/>
      <c r="G235" s="17"/>
      <c r="H235" s="17"/>
      <c r="I235" s="17"/>
      <c r="J235" s="17"/>
      <c r="K235" s="17"/>
      <c r="L235" s="111"/>
      <c r="M235" s="111"/>
      <c r="N235" s="24"/>
      <c r="O235" s="111"/>
      <c r="P235" s="111"/>
      <c r="Q235" s="24"/>
    </row>
    <row r="236" spans="2:17" ht="14.1" customHeight="1" x14ac:dyDescent="0.3">
      <c r="B236" s="110">
        <f t="shared" si="12"/>
        <v>0</v>
      </c>
      <c r="C236" s="110"/>
      <c r="D236" s="110"/>
      <c r="E236" s="17"/>
      <c r="F236" s="17"/>
      <c r="G236" s="17"/>
      <c r="H236" s="17"/>
      <c r="I236" s="17"/>
      <c r="J236" s="17"/>
      <c r="K236" s="17"/>
      <c r="L236" s="111"/>
      <c r="M236" s="111"/>
      <c r="N236" s="24"/>
      <c r="O236" s="111"/>
      <c r="P236" s="111"/>
      <c r="Q236" s="24"/>
    </row>
    <row r="237" spans="2:17" ht="14.1" customHeight="1" x14ac:dyDescent="0.3">
      <c r="B237" s="110">
        <f t="shared" si="12"/>
        <v>0</v>
      </c>
      <c r="C237" s="110"/>
      <c r="D237" s="110"/>
      <c r="E237" s="17"/>
      <c r="F237" s="17"/>
      <c r="G237" s="17"/>
      <c r="H237" s="17"/>
      <c r="I237" s="17"/>
      <c r="J237" s="17"/>
      <c r="K237" s="17"/>
      <c r="L237" s="111"/>
      <c r="M237" s="111"/>
      <c r="N237" s="24"/>
      <c r="O237" s="111"/>
      <c r="P237" s="111"/>
      <c r="Q237" s="24"/>
    </row>
    <row r="238" spans="2:17" ht="14.1" customHeight="1" x14ac:dyDescent="0.3">
      <c r="B238" s="110">
        <f t="shared" si="12"/>
        <v>0</v>
      </c>
      <c r="C238" s="110"/>
      <c r="D238" s="110"/>
      <c r="E238" s="17"/>
      <c r="F238" s="17"/>
      <c r="G238" s="17"/>
      <c r="H238" s="17"/>
      <c r="I238" s="17"/>
      <c r="J238" s="17"/>
      <c r="K238" s="17"/>
      <c r="L238" s="111"/>
      <c r="M238" s="111"/>
      <c r="N238" s="24"/>
      <c r="O238" s="111"/>
      <c r="P238" s="111"/>
      <c r="Q238" s="24"/>
    </row>
    <row r="239" spans="2:17" ht="14.1" customHeight="1" x14ac:dyDescent="0.3">
      <c r="B239" s="110">
        <f t="shared" si="12"/>
        <v>0</v>
      </c>
      <c r="C239" s="110"/>
      <c r="D239" s="110"/>
      <c r="E239" s="17"/>
      <c r="F239" s="17"/>
      <c r="G239" s="17"/>
      <c r="H239" s="17"/>
      <c r="I239" s="17"/>
      <c r="J239" s="17"/>
      <c r="K239" s="17"/>
      <c r="L239" s="111"/>
      <c r="M239" s="111"/>
      <c r="N239" s="24"/>
      <c r="O239" s="111"/>
      <c r="P239" s="111"/>
      <c r="Q239" s="24"/>
    </row>
    <row r="240" spans="2:17" ht="14.1" customHeight="1" x14ac:dyDescent="0.3">
      <c r="B240" s="110">
        <f t="shared" si="12"/>
        <v>0</v>
      </c>
      <c r="C240" s="110"/>
      <c r="D240" s="110"/>
      <c r="E240" s="17"/>
      <c r="F240" s="17"/>
      <c r="G240" s="17"/>
      <c r="H240" s="17"/>
      <c r="I240" s="17"/>
      <c r="J240" s="17"/>
      <c r="K240" s="17"/>
      <c r="L240" s="111"/>
      <c r="M240" s="111"/>
      <c r="N240" s="24"/>
      <c r="O240" s="111"/>
      <c r="P240" s="111"/>
      <c r="Q240" s="24"/>
    </row>
    <row r="241" spans="2:17" ht="14.1" customHeight="1" x14ac:dyDescent="0.3">
      <c r="B241" s="110">
        <f t="shared" si="12"/>
        <v>0</v>
      </c>
      <c r="C241" s="110"/>
      <c r="D241" s="110"/>
      <c r="E241" s="17"/>
      <c r="F241" s="17"/>
      <c r="G241" s="17"/>
      <c r="H241" s="17"/>
      <c r="I241" s="17"/>
      <c r="J241" s="17"/>
      <c r="K241" s="17"/>
      <c r="L241" s="111"/>
      <c r="M241" s="111"/>
      <c r="N241" s="24"/>
      <c r="O241" s="111"/>
      <c r="P241" s="111"/>
      <c r="Q241" s="24"/>
    </row>
    <row r="242" spans="2:17" ht="14.1" customHeight="1" x14ac:dyDescent="0.3">
      <c r="B242" s="110">
        <f t="shared" si="12"/>
        <v>0</v>
      </c>
      <c r="C242" s="110"/>
      <c r="D242" s="110"/>
      <c r="E242" s="17"/>
      <c r="F242" s="17"/>
      <c r="G242" s="17"/>
      <c r="H242" s="19"/>
      <c r="I242" s="19"/>
      <c r="J242" s="19"/>
      <c r="K242" s="19"/>
      <c r="L242" s="111"/>
      <c r="M242" s="111"/>
      <c r="N242" s="17"/>
      <c r="O242" s="115"/>
      <c r="P242" s="115"/>
      <c r="Q242" s="19"/>
    </row>
    <row r="243" spans="2:17" ht="14.1" customHeight="1" x14ac:dyDescent="0.3">
      <c r="B243" s="110">
        <f>B83</f>
        <v>0</v>
      </c>
      <c r="C243" s="110"/>
      <c r="D243" s="110"/>
      <c r="E243" s="17"/>
      <c r="F243" s="17"/>
      <c r="G243" s="17"/>
      <c r="H243" s="19"/>
      <c r="I243" s="19"/>
      <c r="J243" s="19"/>
      <c r="K243" s="19"/>
      <c r="L243" s="111"/>
      <c r="M243" s="111"/>
      <c r="N243" s="17"/>
      <c r="O243" s="115"/>
      <c r="P243" s="115"/>
      <c r="Q243" s="19"/>
    </row>
    <row r="244" spans="2:17" ht="14.1" customHeight="1" x14ac:dyDescent="0.3">
      <c r="B244" s="110">
        <f>B84</f>
        <v>0</v>
      </c>
      <c r="C244" s="110"/>
      <c r="D244" s="110"/>
      <c r="E244" s="17"/>
      <c r="F244" s="17"/>
      <c r="G244" s="17"/>
      <c r="H244" s="19"/>
      <c r="I244" s="19"/>
      <c r="J244" s="19"/>
      <c r="K244" s="19"/>
      <c r="L244" s="111"/>
      <c r="M244" s="111"/>
      <c r="N244" s="17"/>
      <c r="O244" s="115"/>
      <c r="P244" s="115"/>
      <c r="Q244" s="19"/>
    </row>
    <row r="245" spans="2:17" ht="14.1" customHeight="1" x14ac:dyDescent="0.3">
      <c r="B245" s="110">
        <f>B85</f>
        <v>0</v>
      </c>
      <c r="C245" s="110"/>
      <c r="D245" s="110"/>
      <c r="E245" s="17"/>
      <c r="F245" s="17"/>
      <c r="G245" s="17"/>
      <c r="H245" s="19"/>
      <c r="I245" s="19"/>
      <c r="J245" s="19"/>
      <c r="K245" s="19"/>
      <c r="L245" s="111"/>
      <c r="M245" s="111"/>
      <c r="N245" s="17"/>
      <c r="O245" s="115"/>
      <c r="P245" s="115"/>
      <c r="Q245" s="19"/>
    </row>
    <row r="246" spans="2:17" ht="14.1" customHeight="1" x14ac:dyDescent="0.3">
      <c r="B246" s="110">
        <f>B27</f>
        <v>0</v>
      </c>
      <c r="C246" s="110"/>
      <c r="D246" s="110"/>
      <c r="E246" s="17"/>
      <c r="F246" s="17"/>
      <c r="G246" s="17"/>
      <c r="H246" s="19"/>
      <c r="I246" s="19"/>
      <c r="J246" s="19"/>
      <c r="K246" s="19"/>
      <c r="L246" s="111"/>
      <c r="M246" s="111"/>
      <c r="N246" s="17"/>
      <c r="O246" s="111"/>
      <c r="P246" s="111"/>
      <c r="Q246" s="19"/>
    </row>
    <row r="247" spans="2:17" ht="14.1" customHeight="1" x14ac:dyDescent="0.3">
      <c r="B247" s="110">
        <f>B71</f>
        <v>0</v>
      </c>
      <c r="C247" s="110"/>
      <c r="D247" s="110"/>
      <c r="E247" s="17"/>
      <c r="F247" s="17"/>
      <c r="G247" s="17"/>
      <c r="H247" s="19"/>
      <c r="I247" s="19"/>
      <c r="J247" s="19"/>
      <c r="K247" s="19"/>
      <c r="L247" s="111"/>
      <c r="M247" s="111"/>
      <c r="N247" s="17"/>
      <c r="O247" s="111"/>
      <c r="P247" s="111"/>
      <c r="Q247" s="19"/>
    </row>
    <row r="248" spans="2:17" ht="14.1" customHeight="1" x14ac:dyDescent="0.3">
      <c r="B248" s="110">
        <f>B72</f>
        <v>0</v>
      </c>
      <c r="C248" s="110"/>
      <c r="D248" s="110"/>
      <c r="E248" s="17"/>
      <c r="F248" s="17"/>
      <c r="G248" s="17"/>
      <c r="H248" s="19"/>
      <c r="I248" s="19"/>
      <c r="J248" s="19"/>
      <c r="K248" s="19"/>
      <c r="L248" s="111"/>
      <c r="M248" s="111"/>
      <c r="N248" s="17"/>
      <c r="O248" s="111"/>
      <c r="P248" s="111"/>
      <c r="Q248" s="19"/>
    </row>
    <row r="249" spans="2:17" ht="14.1" customHeight="1" x14ac:dyDescent="0.3">
      <c r="B249" s="110">
        <f>B73</f>
        <v>0</v>
      </c>
      <c r="C249" s="110"/>
      <c r="D249" s="110"/>
      <c r="E249" s="17"/>
      <c r="F249" s="17"/>
      <c r="G249" s="17"/>
      <c r="H249" s="19"/>
      <c r="I249" s="19"/>
      <c r="J249" s="19"/>
      <c r="K249" s="19"/>
      <c r="L249" s="111"/>
      <c r="M249" s="111"/>
      <c r="N249" s="17"/>
      <c r="O249" s="111"/>
      <c r="P249" s="111"/>
      <c r="Q249" s="19"/>
    </row>
    <row r="250" spans="2:17" ht="14.1" customHeight="1" x14ac:dyDescent="0.3">
      <c r="B250" s="110">
        <f>B74</f>
        <v>0</v>
      </c>
      <c r="C250" s="110"/>
      <c r="D250" s="110"/>
      <c r="E250" s="17"/>
      <c r="F250" s="17"/>
      <c r="G250" s="17"/>
      <c r="H250" s="19"/>
      <c r="I250" s="19"/>
      <c r="J250" s="19"/>
      <c r="K250" s="19"/>
      <c r="L250" s="111"/>
      <c r="M250" s="111"/>
      <c r="N250" s="17"/>
      <c r="O250" s="111"/>
      <c r="P250" s="111"/>
      <c r="Q250" s="19"/>
    </row>
    <row r="251" spans="2:17" ht="14.1" customHeight="1" x14ac:dyDescent="0.3">
      <c r="B251" s="110">
        <f>B75</f>
        <v>0</v>
      </c>
      <c r="C251" s="110"/>
      <c r="D251" s="110"/>
      <c r="E251" s="17"/>
      <c r="F251" s="17"/>
      <c r="G251" s="17"/>
      <c r="H251" s="19"/>
      <c r="I251" s="19"/>
      <c r="J251" s="19"/>
      <c r="K251" s="19"/>
      <c r="L251" s="111"/>
      <c r="M251" s="111"/>
      <c r="N251" s="17"/>
      <c r="O251" s="111"/>
      <c r="P251" s="111"/>
      <c r="Q251" s="19"/>
    </row>
    <row r="252" spans="2:17" ht="14.1" customHeight="1" x14ac:dyDescent="0.3">
      <c r="B252" s="110">
        <f>B114</f>
        <v>0</v>
      </c>
      <c r="C252" s="110"/>
      <c r="D252" s="110"/>
      <c r="E252" s="17"/>
      <c r="F252" s="17"/>
      <c r="G252" s="17"/>
      <c r="H252" s="19"/>
      <c r="I252" s="19"/>
      <c r="J252" s="19"/>
      <c r="K252" s="19"/>
      <c r="L252" s="111"/>
      <c r="M252" s="111"/>
      <c r="N252" s="17"/>
      <c r="O252" s="111"/>
      <c r="P252" s="111"/>
      <c r="Q252" s="19"/>
    </row>
    <row r="253" spans="2:17" ht="14.1" customHeight="1" x14ac:dyDescent="0.3">
      <c r="B253" s="110">
        <f>B115</f>
        <v>0</v>
      </c>
      <c r="C253" s="110"/>
      <c r="D253" s="110"/>
      <c r="E253" s="17"/>
      <c r="F253" s="17"/>
      <c r="G253" s="17"/>
      <c r="H253" s="19"/>
      <c r="I253" s="19"/>
      <c r="J253" s="19"/>
      <c r="K253" s="19"/>
      <c r="L253" s="111"/>
      <c r="M253" s="111"/>
      <c r="N253" s="17"/>
      <c r="O253" s="111"/>
      <c r="P253" s="111"/>
      <c r="Q253" s="19"/>
    </row>
    <row r="254" spans="2:17" ht="14.1" customHeight="1" x14ac:dyDescent="0.3">
      <c r="B254" s="110">
        <f>B116</f>
        <v>0</v>
      </c>
      <c r="C254" s="110"/>
      <c r="D254" s="110"/>
      <c r="E254" s="17"/>
      <c r="F254" s="17"/>
      <c r="G254" s="17"/>
      <c r="H254" s="19"/>
      <c r="I254" s="19"/>
      <c r="J254" s="19"/>
      <c r="K254" s="19"/>
      <c r="L254" s="111"/>
      <c r="M254" s="111"/>
      <c r="N254" s="17"/>
      <c r="O254" s="111"/>
      <c r="P254" s="111"/>
      <c r="Q254" s="19"/>
    </row>
    <row r="255" spans="2:17" ht="14.1" customHeight="1" x14ac:dyDescent="0.3">
      <c r="B255" s="110">
        <f>B117</f>
        <v>0</v>
      </c>
      <c r="C255" s="110"/>
      <c r="D255" s="110"/>
      <c r="E255" s="17"/>
      <c r="F255" s="17"/>
      <c r="G255" s="17"/>
      <c r="H255" s="19"/>
      <c r="I255" s="19"/>
      <c r="J255" s="19"/>
      <c r="K255" s="19"/>
      <c r="L255" s="111"/>
      <c r="M255" s="111"/>
      <c r="N255" s="17"/>
      <c r="O255" s="111"/>
      <c r="P255" s="111"/>
      <c r="Q255" s="19"/>
    </row>
    <row r="256" spans="2:17" ht="14.1" customHeight="1" x14ac:dyDescent="0.3">
      <c r="B256" s="110">
        <f>B118</f>
        <v>0</v>
      </c>
      <c r="C256" s="110"/>
      <c r="D256" s="110"/>
      <c r="E256" s="17"/>
      <c r="F256" s="17"/>
      <c r="G256" s="17"/>
      <c r="H256" s="19"/>
      <c r="I256" s="19"/>
      <c r="J256" s="19"/>
      <c r="K256" s="19"/>
      <c r="L256" s="111"/>
      <c r="M256" s="111"/>
      <c r="N256" s="17"/>
      <c r="O256" s="111"/>
      <c r="P256" s="111"/>
      <c r="Q256" s="19"/>
    </row>
    <row r="257" spans="2:17" ht="14.1" customHeight="1" x14ac:dyDescent="0.3">
      <c r="B257" s="110">
        <f t="shared" ref="B257:B272" si="13">B38</f>
        <v>0</v>
      </c>
      <c r="C257" s="110"/>
      <c r="D257" s="110"/>
      <c r="E257" s="17"/>
      <c r="F257" s="17"/>
      <c r="G257" s="17"/>
      <c r="H257" s="19"/>
      <c r="I257" s="19"/>
      <c r="J257" s="19"/>
      <c r="K257" s="19"/>
      <c r="L257" s="111"/>
      <c r="M257" s="111"/>
      <c r="N257" s="17"/>
      <c r="O257" s="111"/>
      <c r="P257" s="111"/>
      <c r="Q257" s="19"/>
    </row>
    <row r="258" spans="2:17" ht="14.1" customHeight="1" x14ac:dyDescent="0.3">
      <c r="B258" s="110">
        <f t="shared" si="13"/>
        <v>0</v>
      </c>
      <c r="C258" s="110"/>
      <c r="D258" s="110"/>
      <c r="E258" s="17"/>
      <c r="F258" s="17"/>
      <c r="G258" s="17"/>
      <c r="H258" s="19"/>
      <c r="I258" s="19"/>
      <c r="J258" s="19"/>
      <c r="K258" s="19"/>
      <c r="L258" s="111"/>
      <c r="M258" s="111"/>
      <c r="N258" s="17"/>
      <c r="O258" s="111"/>
      <c r="P258" s="111"/>
      <c r="Q258" s="19"/>
    </row>
    <row r="259" spans="2:17" ht="14.1" customHeight="1" x14ac:dyDescent="0.3">
      <c r="B259" s="110">
        <f t="shared" si="13"/>
        <v>0</v>
      </c>
      <c r="C259" s="110"/>
      <c r="D259" s="110"/>
      <c r="E259" s="17"/>
      <c r="F259" s="17"/>
      <c r="G259" s="17"/>
      <c r="H259" s="19"/>
      <c r="I259" s="19"/>
      <c r="J259" s="19"/>
      <c r="K259" s="19"/>
      <c r="L259" s="111"/>
      <c r="M259" s="111"/>
      <c r="N259" s="17"/>
      <c r="O259" s="111"/>
      <c r="P259" s="111"/>
      <c r="Q259" s="19"/>
    </row>
    <row r="260" spans="2:17" ht="14.1" customHeight="1" x14ac:dyDescent="0.3">
      <c r="B260" s="110">
        <f t="shared" si="13"/>
        <v>0</v>
      </c>
      <c r="C260" s="110"/>
      <c r="D260" s="110"/>
      <c r="E260" s="17"/>
      <c r="F260" s="17"/>
      <c r="G260" s="17"/>
      <c r="H260" s="19"/>
      <c r="I260" s="19"/>
      <c r="J260" s="19"/>
      <c r="K260" s="19"/>
      <c r="L260" s="111"/>
      <c r="M260" s="111"/>
      <c r="N260" s="17"/>
      <c r="O260" s="111"/>
      <c r="P260" s="111"/>
      <c r="Q260" s="19"/>
    </row>
    <row r="261" spans="2:17" ht="14.1" customHeight="1" x14ac:dyDescent="0.3">
      <c r="B261" s="110">
        <f t="shared" si="13"/>
        <v>0</v>
      </c>
      <c r="C261" s="110"/>
      <c r="D261" s="110"/>
      <c r="E261" s="17"/>
      <c r="F261" s="17"/>
      <c r="G261" s="17"/>
      <c r="H261" s="19"/>
      <c r="I261" s="19"/>
      <c r="J261" s="19"/>
      <c r="K261" s="19"/>
      <c r="L261" s="111"/>
      <c r="M261" s="111"/>
      <c r="N261" s="17"/>
      <c r="O261" s="111"/>
      <c r="P261" s="111"/>
      <c r="Q261" s="19"/>
    </row>
    <row r="262" spans="2:17" ht="14.1" customHeight="1" x14ac:dyDescent="0.3">
      <c r="B262" s="110">
        <f t="shared" si="13"/>
        <v>0</v>
      </c>
      <c r="C262" s="110"/>
      <c r="D262" s="110"/>
      <c r="E262" s="17"/>
      <c r="F262" s="17"/>
      <c r="G262" s="17"/>
      <c r="H262" s="19"/>
      <c r="I262" s="19"/>
      <c r="J262" s="19"/>
      <c r="K262" s="19"/>
      <c r="L262" s="111"/>
      <c r="M262" s="111"/>
      <c r="N262" s="17"/>
      <c r="O262" s="111"/>
      <c r="P262" s="111"/>
      <c r="Q262" s="19"/>
    </row>
    <row r="263" spans="2:17" ht="14.1" customHeight="1" x14ac:dyDescent="0.3">
      <c r="B263" s="110">
        <f t="shared" si="13"/>
        <v>0</v>
      </c>
      <c r="C263" s="110"/>
      <c r="D263" s="110"/>
      <c r="E263" s="17"/>
      <c r="F263" s="17"/>
      <c r="G263" s="17"/>
      <c r="H263" s="19"/>
      <c r="I263" s="19"/>
      <c r="J263" s="19"/>
      <c r="K263" s="19"/>
      <c r="L263" s="111"/>
      <c r="M263" s="111"/>
      <c r="N263" s="17"/>
      <c r="O263" s="111"/>
      <c r="P263" s="111"/>
      <c r="Q263" s="19"/>
    </row>
    <row r="264" spans="2:17" ht="14.1" customHeight="1" x14ac:dyDescent="0.3">
      <c r="B264" s="110">
        <f t="shared" si="13"/>
        <v>0</v>
      </c>
      <c r="C264" s="110"/>
      <c r="D264" s="110"/>
      <c r="E264" s="17"/>
      <c r="F264" s="17"/>
      <c r="G264" s="17"/>
      <c r="H264" s="19"/>
      <c r="I264" s="19"/>
      <c r="J264" s="19"/>
      <c r="K264" s="19"/>
      <c r="L264" s="111"/>
      <c r="M264" s="111"/>
      <c r="N264" s="17"/>
      <c r="O264" s="111"/>
      <c r="P264" s="111"/>
      <c r="Q264" s="19"/>
    </row>
    <row r="265" spans="2:17" ht="14.1" customHeight="1" x14ac:dyDescent="0.3">
      <c r="B265" s="110">
        <f t="shared" si="13"/>
        <v>0</v>
      </c>
      <c r="C265" s="110"/>
      <c r="D265" s="110"/>
      <c r="E265" s="17"/>
      <c r="F265" s="17"/>
      <c r="G265" s="17"/>
      <c r="H265" s="19"/>
      <c r="I265" s="19"/>
      <c r="J265" s="19"/>
      <c r="K265" s="19"/>
      <c r="L265" s="111"/>
      <c r="M265" s="111"/>
      <c r="N265" s="17"/>
      <c r="O265" s="111"/>
      <c r="P265" s="111"/>
      <c r="Q265" s="19"/>
    </row>
    <row r="266" spans="2:17" ht="14.1" customHeight="1" x14ac:dyDescent="0.3">
      <c r="B266" s="110">
        <f t="shared" si="13"/>
        <v>0</v>
      </c>
      <c r="C266" s="110"/>
      <c r="D266" s="110"/>
      <c r="E266" s="17"/>
      <c r="F266" s="17"/>
      <c r="G266" s="17"/>
      <c r="H266" s="19"/>
      <c r="I266" s="19"/>
      <c r="J266" s="19"/>
      <c r="K266" s="19"/>
      <c r="L266" s="111"/>
      <c r="M266" s="111"/>
      <c r="N266" s="17"/>
      <c r="O266" s="111"/>
      <c r="P266" s="111"/>
      <c r="Q266" s="19"/>
    </row>
    <row r="267" spans="2:17" ht="14.1" customHeight="1" x14ac:dyDescent="0.3">
      <c r="B267" s="110">
        <f t="shared" si="13"/>
        <v>0</v>
      </c>
      <c r="C267" s="110"/>
      <c r="D267" s="110"/>
      <c r="E267" s="17"/>
      <c r="F267" s="17"/>
      <c r="G267" s="17"/>
      <c r="H267" s="19"/>
      <c r="I267" s="19"/>
      <c r="J267" s="19"/>
      <c r="K267" s="19"/>
      <c r="L267" s="111"/>
      <c r="M267" s="111"/>
      <c r="N267" s="17"/>
      <c r="O267" s="111"/>
      <c r="P267" s="111"/>
      <c r="Q267" s="19"/>
    </row>
    <row r="268" spans="2:17" ht="14.1" customHeight="1" x14ac:dyDescent="0.3">
      <c r="B268" s="110">
        <f t="shared" si="13"/>
        <v>0</v>
      </c>
      <c r="C268" s="110"/>
      <c r="D268" s="110"/>
      <c r="E268" s="17"/>
      <c r="F268" s="17"/>
      <c r="G268" s="17"/>
      <c r="H268" s="19"/>
      <c r="I268" s="19"/>
      <c r="J268" s="19"/>
      <c r="K268" s="19"/>
      <c r="L268" s="111"/>
      <c r="M268" s="111"/>
      <c r="N268" s="17"/>
      <c r="O268" s="111"/>
      <c r="P268" s="111"/>
      <c r="Q268" s="19"/>
    </row>
    <row r="269" spans="2:17" ht="14.1" customHeight="1" x14ac:dyDescent="0.3">
      <c r="B269" s="110">
        <f t="shared" si="13"/>
        <v>0</v>
      </c>
      <c r="C269" s="110"/>
      <c r="D269" s="110"/>
      <c r="E269" s="17"/>
      <c r="F269" s="17"/>
      <c r="G269" s="17"/>
      <c r="H269" s="19"/>
      <c r="I269" s="19"/>
      <c r="J269" s="19"/>
      <c r="K269" s="19"/>
      <c r="L269" s="111"/>
      <c r="M269" s="111"/>
      <c r="N269" s="17"/>
      <c r="O269" s="111"/>
      <c r="P269" s="111"/>
      <c r="Q269" s="19"/>
    </row>
    <row r="270" spans="2:17" ht="14.1" customHeight="1" x14ac:dyDescent="0.3">
      <c r="B270" s="110">
        <f t="shared" si="13"/>
        <v>0</v>
      </c>
      <c r="C270" s="110"/>
      <c r="D270" s="110"/>
      <c r="E270" s="17"/>
      <c r="F270" s="17"/>
      <c r="G270" s="17"/>
      <c r="H270" s="19"/>
      <c r="I270" s="19"/>
      <c r="J270" s="19"/>
      <c r="K270" s="19"/>
      <c r="L270" s="111"/>
      <c r="M270" s="111"/>
      <c r="N270" s="17"/>
      <c r="O270" s="111"/>
      <c r="P270" s="111"/>
      <c r="Q270" s="19"/>
    </row>
    <row r="271" spans="2:17" ht="14.1" customHeight="1" x14ac:dyDescent="0.3">
      <c r="B271" s="110">
        <f t="shared" si="13"/>
        <v>0</v>
      </c>
      <c r="C271" s="110"/>
      <c r="D271" s="110"/>
      <c r="E271" s="17"/>
      <c r="F271" s="17"/>
      <c r="G271" s="17"/>
      <c r="H271" s="19"/>
      <c r="I271" s="19"/>
      <c r="J271" s="19"/>
      <c r="K271" s="19"/>
      <c r="L271" s="111"/>
      <c r="M271" s="111"/>
      <c r="N271" s="17"/>
      <c r="O271" s="111"/>
      <c r="P271" s="111"/>
      <c r="Q271" s="19"/>
    </row>
    <row r="272" spans="2:17" ht="14.1" customHeight="1" x14ac:dyDescent="0.3">
      <c r="B272" s="110">
        <f t="shared" si="13"/>
        <v>0</v>
      </c>
      <c r="C272" s="110"/>
      <c r="D272" s="110"/>
      <c r="E272" s="17"/>
      <c r="F272" s="17"/>
      <c r="G272" s="17"/>
      <c r="H272" s="19"/>
      <c r="I272" s="19"/>
      <c r="J272" s="19"/>
      <c r="K272" s="19"/>
      <c r="L272" s="111"/>
      <c r="M272" s="111"/>
      <c r="N272" s="17"/>
      <c r="O272" s="115"/>
      <c r="P272" s="115"/>
      <c r="Q272" s="19"/>
    </row>
    <row r="273" spans="2:17" ht="14.1" customHeight="1" x14ac:dyDescent="0.3">
      <c r="B273" s="110">
        <f>B135</f>
        <v>0</v>
      </c>
      <c r="C273" s="110"/>
      <c r="D273" s="110"/>
      <c r="E273" s="17"/>
      <c r="F273" s="17"/>
      <c r="G273" s="17"/>
      <c r="H273" s="19"/>
      <c r="I273" s="19"/>
      <c r="J273" s="19"/>
      <c r="K273" s="19"/>
      <c r="L273" s="111"/>
      <c r="M273" s="111"/>
      <c r="N273" s="17"/>
      <c r="O273" s="115"/>
      <c r="P273" s="115"/>
      <c r="Q273" s="19"/>
    </row>
    <row r="274" spans="2:17" ht="14.1" customHeight="1" x14ac:dyDescent="0.3">
      <c r="B274" s="110">
        <f>B136</f>
        <v>0</v>
      </c>
      <c r="C274" s="110"/>
      <c r="D274" s="110"/>
      <c r="E274" s="17"/>
      <c r="F274" s="17"/>
      <c r="G274" s="17"/>
      <c r="H274" s="19"/>
      <c r="I274" s="19"/>
      <c r="J274" s="19"/>
      <c r="K274" s="19"/>
      <c r="L274" s="111"/>
      <c r="M274" s="111"/>
      <c r="N274" s="17"/>
      <c r="O274" s="115"/>
      <c r="P274" s="115"/>
      <c r="Q274" s="19"/>
    </row>
    <row r="275" spans="2:17" ht="14.1" customHeight="1" x14ac:dyDescent="0.3">
      <c r="B275" s="110">
        <f>B137</f>
        <v>0</v>
      </c>
      <c r="C275" s="110"/>
      <c r="D275" s="110"/>
      <c r="E275" s="17"/>
      <c r="F275" s="17"/>
      <c r="G275" s="17"/>
      <c r="H275" s="19"/>
      <c r="I275" s="19"/>
      <c r="J275" s="19"/>
      <c r="K275" s="19"/>
      <c r="L275" s="111"/>
      <c r="M275" s="111"/>
      <c r="N275" s="17"/>
      <c r="O275" s="115"/>
      <c r="P275" s="115"/>
      <c r="Q275" s="19"/>
    </row>
    <row r="276" spans="2:17" ht="14.1" customHeight="1" x14ac:dyDescent="0.3">
      <c r="B276" s="110">
        <f>B57</f>
        <v>0</v>
      </c>
      <c r="C276" s="110"/>
      <c r="D276" s="110"/>
      <c r="E276" s="17"/>
      <c r="F276" s="17"/>
      <c r="G276" s="17"/>
      <c r="H276" s="19"/>
      <c r="I276" s="19"/>
      <c r="J276" s="19"/>
      <c r="K276" s="19"/>
      <c r="L276" s="111"/>
      <c r="M276" s="111"/>
      <c r="N276" s="17"/>
      <c r="O276" s="111"/>
      <c r="P276" s="111"/>
      <c r="Q276" s="19"/>
    </row>
    <row r="277" spans="2:17" ht="14.1" customHeight="1" x14ac:dyDescent="0.3">
      <c r="B277" s="110">
        <f>B123</f>
        <v>0</v>
      </c>
      <c r="C277" s="110"/>
      <c r="D277" s="110"/>
      <c r="E277" s="17"/>
      <c r="F277" s="17"/>
      <c r="G277" s="17"/>
      <c r="H277" s="19"/>
      <c r="I277" s="19"/>
      <c r="J277" s="19"/>
      <c r="K277" s="19"/>
      <c r="L277" s="111"/>
      <c r="M277" s="111"/>
      <c r="N277" s="17"/>
      <c r="O277" s="111"/>
      <c r="P277" s="111"/>
      <c r="Q277" s="19"/>
    </row>
    <row r="278" spans="2:17" ht="14.1" customHeight="1" x14ac:dyDescent="0.3">
      <c r="B278" s="110">
        <f>B124</f>
        <v>0</v>
      </c>
      <c r="C278" s="110"/>
      <c r="D278" s="110"/>
      <c r="E278" s="17"/>
      <c r="F278" s="17"/>
      <c r="G278" s="17"/>
      <c r="H278" s="19"/>
      <c r="I278" s="19"/>
      <c r="J278" s="19"/>
      <c r="K278" s="19"/>
      <c r="L278" s="111"/>
      <c r="M278" s="111"/>
      <c r="N278" s="17"/>
      <c r="O278" s="111"/>
      <c r="P278" s="111"/>
      <c r="Q278" s="19"/>
    </row>
    <row r="279" spans="2:17" ht="14.1" customHeight="1" x14ac:dyDescent="0.3">
      <c r="B279" s="110">
        <f>B125</f>
        <v>0</v>
      </c>
      <c r="C279" s="110"/>
      <c r="D279" s="110"/>
      <c r="E279" s="17"/>
      <c r="F279" s="17"/>
      <c r="G279" s="17"/>
      <c r="H279" s="19"/>
      <c r="I279" s="19"/>
      <c r="J279" s="19"/>
      <c r="K279" s="19"/>
      <c r="L279" s="111"/>
      <c r="M279" s="111"/>
      <c r="N279" s="17"/>
      <c r="O279" s="111"/>
      <c r="P279" s="111"/>
      <c r="Q279" s="19"/>
    </row>
    <row r="280" spans="2:17" ht="14.1" customHeight="1" x14ac:dyDescent="0.3">
      <c r="B280" s="110">
        <f>B126</f>
        <v>0</v>
      </c>
      <c r="C280" s="110"/>
      <c r="D280" s="110"/>
      <c r="E280" s="17"/>
      <c r="F280" s="17"/>
      <c r="G280" s="17"/>
      <c r="H280" s="19"/>
      <c r="I280" s="19"/>
      <c r="J280" s="19"/>
      <c r="K280" s="19"/>
      <c r="L280" s="111"/>
      <c r="M280" s="111"/>
      <c r="N280" s="17"/>
      <c r="O280" s="111"/>
      <c r="P280" s="111"/>
      <c r="Q280" s="19"/>
    </row>
    <row r="281" spans="2:17" ht="14.1" customHeight="1" x14ac:dyDescent="0.3">
      <c r="B281" s="110">
        <f>B127</f>
        <v>0</v>
      </c>
      <c r="C281" s="110"/>
      <c r="D281" s="110"/>
      <c r="E281" s="17"/>
      <c r="F281" s="17"/>
      <c r="G281" s="17"/>
      <c r="H281" s="19"/>
      <c r="I281" s="19"/>
      <c r="J281" s="19"/>
      <c r="K281" s="19"/>
      <c r="L281" s="111"/>
      <c r="M281" s="111"/>
      <c r="N281" s="17"/>
      <c r="O281" s="111"/>
      <c r="P281" s="111"/>
      <c r="Q281" s="19"/>
    </row>
    <row r="282" spans="2:17" ht="14.1" customHeight="1" x14ac:dyDescent="0.3">
      <c r="B282" s="110">
        <f>B144</f>
        <v>0</v>
      </c>
      <c r="C282" s="110"/>
      <c r="D282" s="110"/>
      <c r="E282" s="17"/>
      <c r="F282" s="17"/>
      <c r="G282" s="17"/>
      <c r="H282" s="19"/>
      <c r="I282" s="19"/>
      <c r="J282" s="19"/>
      <c r="K282" s="19"/>
      <c r="L282" s="111"/>
      <c r="M282" s="111"/>
      <c r="N282" s="17"/>
      <c r="O282" s="111"/>
      <c r="P282" s="111"/>
      <c r="Q282" s="19"/>
    </row>
    <row r="283" spans="2:17" ht="14.1" customHeight="1" x14ac:dyDescent="0.3">
      <c r="B283" s="110">
        <f>B145</f>
        <v>0</v>
      </c>
      <c r="C283" s="110"/>
      <c r="D283" s="110"/>
      <c r="E283" s="17"/>
      <c r="F283" s="17"/>
      <c r="G283" s="17"/>
      <c r="H283" s="19"/>
      <c r="I283" s="19"/>
      <c r="J283" s="19"/>
      <c r="K283" s="19"/>
      <c r="L283" s="111"/>
      <c r="M283" s="111"/>
      <c r="N283" s="17"/>
      <c r="O283" s="111"/>
      <c r="P283" s="111"/>
      <c r="Q283" s="19"/>
    </row>
    <row r="284" spans="2:17" ht="14.1" customHeight="1" x14ac:dyDescent="0.3">
      <c r="B284" s="110">
        <f>B146</f>
        <v>0</v>
      </c>
      <c r="C284" s="110"/>
      <c r="D284" s="110"/>
      <c r="E284" s="17"/>
      <c r="F284" s="17"/>
      <c r="G284" s="17"/>
      <c r="H284" s="19"/>
      <c r="I284" s="19"/>
      <c r="J284" s="19"/>
      <c r="K284" s="19"/>
      <c r="L284" s="111"/>
      <c r="M284" s="111"/>
      <c r="N284" s="17"/>
      <c r="O284" s="111"/>
      <c r="P284" s="111"/>
      <c r="Q284" s="19"/>
    </row>
    <row r="285" spans="2:17" ht="14.1" customHeight="1" x14ac:dyDescent="0.3">
      <c r="B285" s="110">
        <f>B147</f>
        <v>0</v>
      </c>
      <c r="C285" s="110"/>
      <c r="D285" s="110"/>
      <c r="E285" s="17"/>
      <c r="F285" s="17"/>
      <c r="G285" s="17"/>
      <c r="H285" s="19"/>
      <c r="I285" s="19"/>
      <c r="J285" s="19"/>
      <c r="K285" s="19"/>
      <c r="L285" s="111"/>
      <c r="M285" s="111"/>
      <c r="N285" s="17"/>
      <c r="O285" s="111"/>
      <c r="P285" s="111"/>
      <c r="Q285" s="19"/>
    </row>
    <row r="286" spans="2:17" ht="14.1" customHeight="1" x14ac:dyDescent="0.3">
      <c r="B286" s="110">
        <f>B148</f>
        <v>0</v>
      </c>
      <c r="C286" s="110"/>
      <c r="D286" s="110"/>
      <c r="E286" s="17"/>
      <c r="F286" s="17"/>
      <c r="G286" s="17"/>
      <c r="H286" s="19"/>
      <c r="I286" s="19"/>
      <c r="J286" s="19"/>
      <c r="K286" s="19"/>
      <c r="L286" s="111"/>
      <c r="M286" s="111"/>
      <c r="N286" s="17"/>
      <c r="O286" s="115"/>
      <c r="P286" s="115"/>
      <c r="Q286" s="19"/>
    </row>
    <row r="287" spans="2:17" ht="14.1" customHeight="1" x14ac:dyDescent="0.3">
      <c r="B287" s="110">
        <f>B133</f>
        <v>0</v>
      </c>
      <c r="C287" s="110"/>
      <c r="D287" s="110"/>
      <c r="E287" s="17"/>
      <c r="F287" s="17"/>
      <c r="G287" s="17"/>
      <c r="H287" s="19"/>
      <c r="I287" s="19"/>
      <c r="J287" s="19"/>
      <c r="K287" s="19"/>
      <c r="L287" s="111"/>
      <c r="M287" s="111"/>
      <c r="N287" s="17"/>
      <c r="O287" s="115"/>
      <c r="P287" s="115"/>
      <c r="Q287" s="19"/>
    </row>
    <row r="288" spans="2:17" ht="14.1" customHeight="1" x14ac:dyDescent="0.3">
      <c r="B288" s="110">
        <f>B134</f>
        <v>0</v>
      </c>
      <c r="C288" s="110"/>
      <c r="D288" s="110"/>
      <c r="E288" s="17"/>
      <c r="F288" s="17"/>
      <c r="G288" s="17"/>
      <c r="H288" s="19"/>
      <c r="I288" s="19"/>
      <c r="J288" s="19"/>
      <c r="K288" s="19"/>
      <c r="L288" s="111"/>
      <c r="M288" s="111"/>
      <c r="N288" s="17"/>
      <c r="O288" s="115"/>
      <c r="P288" s="115"/>
      <c r="Q288" s="19"/>
    </row>
    <row r="289" spans="2:18" ht="14.1" customHeight="1" x14ac:dyDescent="0.3">
      <c r="B289" s="110">
        <f>B135</f>
        <v>0</v>
      </c>
      <c r="C289" s="110"/>
      <c r="D289" s="110"/>
      <c r="E289" s="17"/>
      <c r="F289" s="17"/>
      <c r="G289" s="17"/>
      <c r="H289" s="19"/>
      <c r="I289" s="19"/>
      <c r="J289" s="19"/>
      <c r="K289" s="19"/>
      <c r="L289" s="111"/>
      <c r="M289" s="111"/>
      <c r="N289" s="17"/>
      <c r="O289" s="115"/>
      <c r="P289" s="115"/>
      <c r="Q289" s="19"/>
    </row>
    <row r="290" spans="2:18" ht="14.1" customHeight="1" x14ac:dyDescent="0.3">
      <c r="B290" s="110">
        <f>B136</f>
        <v>0</v>
      </c>
      <c r="C290" s="110"/>
      <c r="D290" s="110"/>
      <c r="E290" s="17"/>
      <c r="F290" s="17"/>
      <c r="G290" s="17"/>
      <c r="H290" s="19"/>
      <c r="I290" s="19"/>
      <c r="J290" s="19"/>
      <c r="K290" s="19"/>
      <c r="L290" s="111"/>
      <c r="M290" s="111"/>
      <c r="N290" s="17"/>
      <c r="O290" s="111"/>
      <c r="P290" s="111"/>
      <c r="Q290" s="19"/>
    </row>
    <row r="291" spans="2:18" ht="14.1" customHeight="1" x14ac:dyDescent="0.3">
      <c r="B291" s="110">
        <f t="shared" ref="B291:B297" si="14">B153</f>
        <v>0</v>
      </c>
      <c r="C291" s="110"/>
      <c r="D291" s="110"/>
      <c r="E291" s="17"/>
      <c r="F291" s="17"/>
      <c r="G291" s="17"/>
      <c r="H291" s="19"/>
      <c r="I291" s="19"/>
      <c r="J291" s="19"/>
      <c r="K291" s="19"/>
      <c r="L291" s="111"/>
      <c r="M291" s="111"/>
      <c r="N291" s="17"/>
      <c r="O291" s="111"/>
      <c r="P291" s="111"/>
      <c r="Q291" s="19"/>
    </row>
    <row r="292" spans="2:18" ht="14.1" customHeight="1" x14ac:dyDescent="0.3">
      <c r="B292" s="110">
        <f t="shared" si="14"/>
        <v>0</v>
      </c>
      <c r="C292" s="110"/>
      <c r="D292" s="110"/>
      <c r="E292" s="17"/>
      <c r="F292" s="17"/>
      <c r="G292" s="17"/>
      <c r="H292" s="19"/>
      <c r="I292" s="19"/>
      <c r="J292" s="19"/>
      <c r="K292" s="19"/>
      <c r="L292" s="111"/>
      <c r="M292" s="111"/>
      <c r="N292" s="17"/>
      <c r="O292" s="111"/>
      <c r="P292" s="111"/>
      <c r="Q292" s="19"/>
    </row>
    <row r="293" spans="2:18" ht="14.1" customHeight="1" x14ac:dyDescent="0.3">
      <c r="B293" s="110">
        <f t="shared" si="14"/>
        <v>0</v>
      </c>
      <c r="C293" s="110"/>
      <c r="D293" s="110"/>
      <c r="E293" s="17"/>
      <c r="F293" s="17"/>
      <c r="G293" s="17"/>
      <c r="H293" s="19"/>
      <c r="I293" s="19"/>
      <c r="J293" s="19"/>
      <c r="K293" s="19"/>
      <c r="L293" s="111"/>
      <c r="M293" s="111"/>
      <c r="N293" s="17"/>
      <c r="O293" s="111"/>
      <c r="P293" s="111"/>
      <c r="Q293" s="19"/>
    </row>
    <row r="294" spans="2:18" ht="14.1" customHeight="1" x14ac:dyDescent="0.3">
      <c r="B294" s="110">
        <f t="shared" si="14"/>
        <v>0</v>
      </c>
      <c r="C294" s="110"/>
      <c r="D294" s="110"/>
      <c r="E294" s="17"/>
      <c r="F294" s="17"/>
      <c r="G294" s="17"/>
      <c r="H294" s="19"/>
      <c r="I294" s="19"/>
      <c r="J294" s="19"/>
      <c r="K294" s="19"/>
      <c r="L294" s="111"/>
      <c r="M294" s="111"/>
      <c r="N294" s="17"/>
      <c r="O294" s="111"/>
      <c r="P294" s="111"/>
      <c r="Q294" s="19"/>
    </row>
    <row r="295" spans="2:18" ht="14.1" customHeight="1" x14ac:dyDescent="0.3">
      <c r="B295" s="110">
        <f t="shared" si="14"/>
        <v>0</v>
      </c>
      <c r="C295" s="110"/>
      <c r="D295" s="110"/>
      <c r="E295" s="17"/>
      <c r="F295" s="17"/>
      <c r="G295" s="17"/>
      <c r="H295" s="19"/>
      <c r="I295" s="19"/>
      <c r="J295" s="19"/>
      <c r="K295" s="19"/>
      <c r="L295" s="111"/>
      <c r="M295" s="111"/>
      <c r="N295" s="17"/>
      <c r="O295" s="111"/>
      <c r="P295" s="111"/>
      <c r="Q295" s="19"/>
    </row>
    <row r="296" spans="2:18" ht="14.1" customHeight="1" x14ac:dyDescent="0.3">
      <c r="B296" s="110">
        <f t="shared" si="14"/>
        <v>0</v>
      </c>
      <c r="C296" s="110"/>
      <c r="D296" s="110"/>
      <c r="E296" s="17"/>
      <c r="F296" s="17"/>
      <c r="G296" s="17"/>
      <c r="H296" s="19"/>
      <c r="I296" s="19"/>
      <c r="J296" s="19"/>
      <c r="K296" s="19"/>
      <c r="L296" s="111"/>
      <c r="M296" s="111"/>
      <c r="N296" s="17"/>
      <c r="O296" s="111"/>
      <c r="P296" s="111"/>
      <c r="Q296" s="19"/>
    </row>
    <row r="297" spans="2:18" ht="14.1" customHeight="1" x14ac:dyDescent="0.3">
      <c r="B297" s="110">
        <f t="shared" si="14"/>
        <v>0</v>
      </c>
      <c r="C297" s="110"/>
      <c r="D297" s="110"/>
      <c r="E297" s="17"/>
      <c r="F297" s="17"/>
      <c r="G297" s="17"/>
      <c r="H297" s="19"/>
      <c r="I297" s="19"/>
      <c r="J297" s="19"/>
      <c r="K297" s="19"/>
      <c r="L297" s="111"/>
      <c r="M297" s="111"/>
      <c r="N297" s="17"/>
      <c r="O297" s="111"/>
      <c r="P297" s="111"/>
      <c r="Q297" s="19"/>
    </row>
    <row r="298" spans="2:18" ht="14.1" customHeight="1" x14ac:dyDescent="0.3">
      <c r="B298" s="112">
        <f>B108</f>
        <v>0</v>
      </c>
      <c r="C298" s="113"/>
      <c r="D298" s="114"/>
      <c r="E298" s="17"/>
      <c r="F298" s="17"/>
      <c r="G298" s="17"/>
      <c r="H298" s="19"/>
      <c r="I298" s="19"/>
      <c r="J298" s="19"/>
      <c r="K298" s="19"/>
      <c r="L298" s="111"/>
      <c r="M298" s="111"/>
      <c r="N298" s="17"/>
      <c r="O298" s="115"/>
      <c r="P298" s="115"/>
      <c r="Q298" s="19"/>
    </row>
    <row r="299" spans="2:18" ht="14.1" customHeight="1" x14ac:dyDescent="0.3">
      <c r="B299" s="16"/>
      <c r="C299" s="21"/>
      <c r="D299" s="8" t="s">
        <v>29</v>
      </c>
      <c r="E299" s="25">
        <f t="shared" ref="E299:K299" si="15">SUM(E227:E298)</f>
        <v>0</v>
      </c>
      <c r="F299" s="25">
        <f t="shared" si="15"/>
        <v>0</v>
      </c>
      <c r="G299" s="25">
        <f t="shared" si="15"/>
        <v>0</v>
      </c>
      <c r="H299" s="25">
        <f t="shared" si="15"/>
        <v>0</v>
      </c>
      <c r="I299" s="25">
        <f t="shared" si="15"/>
        <v>0</v>
      </c>
      <c r="J299" s="26">
        <f t="shared" si="15"/>
        <v>0</v>
      </c>
      <c r="K299" s="26">
        <f t="shared" si="15"/>
        <v>0</v>
      </c>
      <c r="L299" s="27"/>
      <c r="M299" s="27"/>
      <c r="N299" s="25">
        <f>SUM(N227:N298)</f>
        <v>0</v>
      </c>
      <c r="O299" s="27"/>
      <c r="P299" s="27"/>
      <c r="Q299" s="25">
        <f>SUM(Q227:Q298)</f>
        <v>0</v>
      </c>
    </row>
    <row r="300" spans="2:18" ht="14.1" customHeight="1" x14ac:dyDescent="0.3">
      <c r="B300" s="8"/>
      <c r="C300" s="28"/>
      <c r="D300" s="29"/>
      <c r="E300" s="21"/>
      <c r="F300" s="21"/>
      <c r="G300" s="21"/>
      <c r="L300" s="21"/>
      <c r="M300" s="21"/>
      <c r="N300" s="21"/>
    </row>
    <row r="301" spans="2:18" ht="14.1" customHeight="1" x14ac:dyDescent="0.3">
      <c r="B301" s="29"/>
      <c r="C301" s="21"/>
      <c r="D301" s="29"/>
      <c r="E301" s="21"/>
      <c r="F301" s="21"/>
      <c r="G301" s="21"/>
      <c r="L301" s="21"/>
      <c r="M301" s="21"/>
      <c r="N301" s="21"/>
    </row>
    <row r="302" spans="2:18" ht="14.1" customHeight="1" x14ac:dyDescent="0.3">
      <c r="B302" s="15"/>
      <c r="C302" s="15"/>
      <c r="D302" s="15"/>
      <c r="E302" s="116" t="s">
        <v>30</v>
      </c>
      <c r="F302" s="116"/>
      <c r="G302" s="116"/>
      <c r="H302" s="116"/>
      <c r="I302" s="116"/>
      <c r="J302" s="116"/>
      <c r="K302" s="116"/>
      <c r="L302" s="117" t="s">
        <v>31</v>
      </c>
      <c r="M302" s="117"/>
      <c r="N302" s="117"/>
      <c r="O302" s="117"/>
      <c r="P302" s="117" t="s">
        <v>32</v>
      </c>
      <c r="Q302" s="117"/>
      <c r="R302" s="117"/>
    </row>
    <row r="303" spans="2:18" ht="14.1" customHeight="1" x14ac:dyDescent="0.3">
      <c r="B303" s="118" t="s">
        <v>5</v>
      </c>
      <c r="C303" s="119"/>
      <c r="D303" s="120"/>
      <c r="E303" s="9" t="s">
        <v>33</v>
      </c>
      <c r="F303" s="116" t="s">
        <v>34</v>
      </c>
      <c r="G303" s="116"/>
      <c r="H303" s="23" t="s">
        <v>35</v>
      </c>
      <c r="I303" s="23" t="s">
        <v>36</v>
      </c>
      <c r="J303" s="23" t="s">
        <v>37</v>
      </c>
      <c r="K303" s="9" t="s">
        <v>24</v>
      </c>
      <c r="L303" s="116" t="s">
        <v>38</v>
      </c>
      <c r="M303" s="116"/>
      <c r="N303" s="9" t="s">
        <v>24</v>
      </c>
      <c r="O303" s="9" t="s">
        <v>39</v>
      </c>
      <c r="P303" s="10" t="s">
        <v>40</v>
      </c>
      <c r="Q303" s="10" t="s">
        <v>24</v>
      </c>
      <c r="R303" s="10" t="s">
        <v>39</v>
      </c>
    </row>
    <row r="304" spans="2:18" ht="14.1" customHeight="1" x14ac:dyDescent="0.3">
      <c r="B304" s="121"/>
      <c r="C304" s="122"/>
      <c r="D304" s="123"/>
      <c r="E304" s="17" t="s">
        <v>28</v>
      </c>
      <c r="F304" s="17" t="s">
        <v>28</v>
      </c>
      <c r="G304" s="17" t="s">
        <v>41</v>
      </c>
      <c r="H304" s="17" t="s">
        <v>28</v>
      </c>
      <c r="I304" s="17" t="s">
        <v>28</v>
      </c>
      <c r="J304" s="17" t="s">
        <v>28</v>
      </c>
      <c r="K304" s="17" t="s">
        <v>13</v>
      </c>
      <c r="L304" s="19" t="s">
        <v>11</v>
      </c>
      <c r="M304" s="17" t="s">
        <v>13</v>
      </c>
      <c r="N304" s="17" t="s">
        <v>13</v>
      </c>
      <c r="O304" s="17" t="s">
        <v>28</v>
      </c>
      <c r="P304" s="17" t="s">
        <v>28</v>
      </c>
      <c r="Q304" s="17" t="s">
        <v>13</v>
      </c>
      <c r="R304" s="17" t="s">
        <v>28</v>
      </c>
    </row>
    <row r="305" spans="2:18" ht="14.1" customHeight="1" x14ac:dyDescent="0.3">
      <c r="B305" s="112">
        <f t="shared" ref="B305:B320" si="16">B8</f>
        <v>0</v>
      </c>
      <c r="C305" s="113"/>
      <c r="D305" s="114"/>
      <c r="E305" s="17"/>
      <c r="F305" s="17"/>
      <c r="G305" s="17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</row>
    <row r="306" spans="2:18" ht="14.1" customHeight="1" x14ac:dyDescent="0.3">
      <c r="B306" s="110">
        <f t="shared" si="16"/>
        <v>0</v>
      </c>
      <c r="C306" s="110"/>
      <c r="D306" s="110"/>
      <c r="E306" s="17"/>
      <c r="F306" s="17"/>
      <c r="G306" s="17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</row>
    <row r="307" spans="2:18" ht="14.1" customHeight="1" x14ac:dyDescent="0.3">
      <c r="B307" s="110">
        <f t="shared" si="16"/>
        <v>0</v>
      </c>
      <c r="C307" s="110"/>
      <c r="D307" s="110"/>
      <c r="E307" s="17"/>
      <c r="F307" s="17"/>
      <c r="G307" s="17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</row>
    <row r="308" spans="2:18" ht="14.1" customHeight="1" x14ac:dyDescent="0.3">
      <c r="B308" s="110">
        <f t="shared" si="16"/>
        <v>0</v>
      </c>
      <c r="C308" s="110"/>
      <c r="D308" s="110"/>
      <c r="E308" s="17"/>
      <c r="F308" s="17"/>
      <c r="G308" s="17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</row>
    <row r="309" spans="2:18" ht="14.1" customHeight="1" x14ac:dyDescent="0.3">
      <c r="B309" s="110">
        <f t="shared" si="16"/>
        <v>0</v>
      </c>
      <c r="C309" s="110"/>
      <c r="D309" s="110"/>
      <c r="E309" s="17"/>
      <c r="F309" s="17"/>
      <c r="G309" s="17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</row>
    <row r="310" spans="2:18" ht="14.1" customHeight="1" x14ac:dyDescent="0.3">
      <c r="B310" s="110">
        <f t="shared" si="16"/>
        <v>0</v>
      </c>
      <c r="C310" s="110"/>
      <c r="D310" s="110"/>
      <c r="E310" s="17"/>
      <c r="F310" s="17"/>
      <c r="G310" s="17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</row>
    <row r="311" spans="2:18" ht="14.1" customHeight="1" x14ac:dyDescent="0.3">
      <c r="B311" s="110">
        <f t="shared" si="16"/>
        <v>0</v>
      </c>
      <c r="C311" s="110"/>
      <c r="D311" s="110"/>
      <c r="E311" s="17"/>
      <c r="F311" s="17"/>
      <c r="G311" s="17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</row>
    <row r="312" spans="2:18" ht="14.1" customHeight="1" x14ac:dyDescent="0.3">
      <c r="B312" s="110">
        <f t="shared" si="16"/>
        <v>0</v>
      </c>
      <c r="C312" s="110"/>
      <c r="D312" s="110"/>
      <c r="E312" s="17"/>
      <c r="F312" s="17"/>
      <c r="G312" s="17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</row>
    <row r="313" spans="2:18" ht="14.1" customHeight="1" x14ac:dyDescent="0.3">
      <c r="B313" s="110">
        <f t="shared" si="16"/>
        <v>0</v>
      </c>
      <c r="C313" s="110"/>
      <c r="D313" s="110"/>
      <c r="E313" s="17"/>
      <c r="F313" s="17"/>
      <c r="G313" s="17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</row>
    <row r="314" spans="2:18" ht="14.1" customHeight="1" x14ac:dyDescent="0.3">
      <c r="B314" s="110">
        <f t="shared" si="16"/>
        <v>0</v>
      </c>
      <c r="C314" s="110"/>
      <c r="D314" s="110"/>
      <c r="E314" s="17"/>
      <c r="F314" s="17"/>
      <c r="G314" s="17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</row>
    <row r="315" spans="2:18" ht="14.1" customHeight="1" x14ac:dyDescent="0.3">
      <c r="B315" s="110">
        <f t="shared" si="16"/>
        <v>0</v>
      </c>
      <c r="C315" s="110"/>
      <c r="D315" s="110"/>
      <c r="E315" s="17"/>
      <c r="F315" s="17"/>
      <c r="G315" s="17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</row>
    <row r="316" spans="2:18" ht="14.1" customHeight="1" x14ac:dyDescent="0.3">
      <c r="B316" s="110">
        <f t="shared" si="16"/>
        <v>0</v>
      </c>
      <c r="C316" s="110"/>
      <c r="D316" s="110"/>
      <c r="E316" s="17"/>
      <c r="F316" s="17"/>
      <c r="G316" s="17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</row>
    <row r="317" spans="2:18" ht="14.1" customHeight="1" x14ac:dyDescent="0.3">
      <c r="B317" s="110">
        <f t="shared" si="16"/>
        <v>0</v>
      </c>
      <c r="C317" s="110"/>
      <c r="D317" s="110"/>
      <c r="E317" s="17"/>
      <c r="F317" s="17"/>
      <c r="G317" s="17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</row>
    <row r="318" spans="2:18" ht="14.1" customHeight="1" x14ac:dyDescent="0.3">
      <c r="B318" s="110">
        <f t="shared" si="16"/>
        <v>0</v>
      </c>
      <c r="C318" s="110"/>
      <c r="D318" s="110"/>
      <c r="E318" s="17"/>
      <c r="F318" s="17"/>
      <c r="G318" s="17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</row>
    <row r="319" spans="2:18" ht="14.1" customHeight="1" x14ac:dyDescent="0.3">
      <c r="B319" s="110">
        <f t="shared" si="16"/>
        <v>0</v>
      </c>
      <c r="C319" s="110"/>
      <c r="D319" s="110"/>
      <c r="E319" s="17"/>
      <c r="F319" s="17"/>
      <c r="G319" s="17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</row>
    <row r="320" spans="2:18" ht="14.1" customHeight="1" x14ac:dyDescent="0.3">
      <c r="B320" s="110">
        <f t="shared" si="16"/>
        <v>0</v>
      </c>
      <c r="C320" s="110"/>
      <c r="D320" s="110"/>
      <c r="E320" s="17"/>
      <c r="F320" s="17"/>
      <c r="G320" s="17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</row>
    <row r="321" spans="2:18" ht="14.1" customHeight="1" x14ac:dyDescent="0.3">
      <c r="B321" s="110">
        <f>B83</f>
        <v>0</v>
      </c>
      <c r="C321" s="110"/>
      <c r="D321" s="110"/>
      <c r="E321" s="17"/>
      <c r="F321" s="17"/>
      <c r="G321" s="17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</row>
    <row r="322" spans="2:18" ht="14.1" customHeight="1" x14ac:dyDescent="0.3">
      <c r="B322" s="110">
        <f>B84</f>
        <v>0</v>
      </c>
      <c r="C322" s="110"/>
      <c r="D322" s="110"/>
      <c r="E322" s="17"/>
      <c r="F322" s="17"/>
      <c r="G322" s="17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</row>
    <row r="323" spans="2:18" ht="14.1" customHeight="1" x14ac:dyDescent="0.3">
      <c r="B323" s="110">
        <f>B85</f>
        <v>0</v>
      </c>
      <c r="C323" s="110"/>
      <c r="D323" s="110"/>
      <c r="E323" s="17"/>
      <c r="F323" s="17"/>
      <c r="G323" s="17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</row>
    <row r="324" spans="2:18" ht="14.1" customHeight="1" x14ac:dyDescent="0.3">
      <c r="B324" s="112">
        <f t="shared" ref="B324:B339" si="17">B27</f>
        <v>0</v>
      </c>
      <c r="C324" s="113"/>
      <c r="D324" s="114"/>
      <c r="E324" s="17"/>
      <c r="F324" s="17"/>
      <c r="G324" s="17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</row>
    <row r="325" spans="2:18" ht="14.1" customHeight="1" x14ac:dyDescent="0.3">
      <c r="B325" s="110">
        <f t="shared" si="17"/>
        <v>0</v>
      </c>
      <c r="C325" s="110"/>
      <c r="D325" s="110"/>
      <c r="E325" s="17"/>
      <c r="F325" s="17"/>
      <c r="G325" s="17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</row>
    <row r="326" spans="2:18" ht="14.1" customHeight="1" x14ac:dyDescent="0.3">
      <c r="B326" s="110">
        <f t="shared" si="17"/>
        <v>0</v>
      </c>
      <c r="C326" s="110"/>
      <c r="D326" s="110"/>
      <c r="E326" s="17"/>
      <c r="F326" s="17"/>
      <c r="G326" s="17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</row>
    <row r="327" spans="2:18" ht="14.1" customHeight="1" x14ac:dyDescent="0.3">
      <c r="B327" s="110">
        <f t="shared" si="17"/>
        <v>0</v>
      </c>
      <c r="C327" s="110"/>
      <c r="D327" s="110"/>
      <c r="E327" s="17"/>
      <c r="F327" s="17"/>
      <c r="G327" s="17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</row>
    <row r="328" spans="2:18" ht="14.1" customHeight="1" x14ac:dyDescent="0.3">
      <c r="B328" s="110">
        <f t="shared" si="17"/>
        <v>0</v>
      </c>
      <c r="C328" s="110"/>
      <c r="D328" s="110"/>
      <c r="E328" s="17"/>
      <c r="F328" s="17"/>
      <c r="G328" s="17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</row>
    <row r="329" spans="2:18" ht="14.1" customHeight="1" x14ac:dyDescent="0.3">
      <c r="B329" s="110">
        <f t="shared" si="17"/>
        <v>0</v>
      </c>
      <c r="C329" s="110"/>
      <c r="D329" s="110"/>
      <c r="E329" s="17"/>
      <c r="F329" s="17"/>
      <c r="G329" s="17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</row>
    <row r="330" spans="2:18" ht="14.1" customHeight="1" x14ac:dyDescent="0.3">
      <c r="B330" s="110">
        <f t="shared" si="17"/>
        <v>0</v>
      </c>
      <c r="C330" s="110"/>
      <c r="D330" s="110"/>
      <c r="E330" s="17"/>
      <c r="F330" s="17"/>
      <c r="G330" s="17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</row>
    <row r="331" spans="2:18" ht="14.1" customHeight="1" x14ac:dyDescent="0.3">
      <c r="B331" s="110">
        <f t="shared" si="17"/>
        <v>0</v>
      </c>
      <c r="C331" s="110"/>
      <c r="D331" s="110"/>
      <c r="E331" s="17"/>
      <c r="F331" s="17"/>
      <c r="G331" s="17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</row>
    <row r="332" spans="2:18" ht="14.1" customHeight="1" x14ac:dyDescent="0.3">
      <c r="B332" s="110">
        <f t="shared" si="17"/>
        <v>0</v>
      </c>
      <c r="C332" s="110"/>
      <c r="D332" s="110"/>
      <c r="E332" s="17"/>
      <c r="F332" s="17"/>
      <c r="G332" s="17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</row>
    <row r="333" spans="2:18" ht="14.1" customHeight="1" x14ac:dyDescent="0.3">
      <c r="B333" s="110">
        <f t="shared" si="17"/>
        <v>0</v>
      </c>
      <c r="C333" s="110"/>
      <c r="D333" s="110"/>
      <c r="E333" s="17"/>
      <c r="F333" s="17"/>
      <c r="G333" s="17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</row>
    <row r="334" spans="2:18" ht="14.1" customHeight="1" x14ac:dyDescent="0.3">
      <c r="B334" s="110">
        <f t="shared" si="17"/>
        <v>0</v>
      </c>
      <c r="C334" s="110"/>
      <c r="D334" s="110"/>
      <c r="E334" s="17"/>
      <c r="F334" s="17"/>
      <c r="G334" s="17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</row>
    <row r="335" spans="2:18" ht="14.1" customHeight="1" x14ac:dyDescent="0.3">
      <c r="B335" s="110">
        <f t="shared" si="17"/>
        <v>0</v>
      </c>
      <c r="C335" s="110"/>
      <c r="D335" s="110"/>
      <c r="E335" s="17"/>
      <c r="F335" s="17"/>
      <c r="G335" s="17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</row>
    <row r="336" spans="2:18" ht="14.1" customHeight="1" x14ac:dyDescent="0.3">
      <c r="B336" s="110">
        <f t="shared" si="17"/>
        <v>0</v>
      </c>
      <c r="C336" s="110"/>
      <c r="D336" s="110"/>
      <c r="E336" s="17"/>
      <c r="F336" s="17"/>
      <c r="G336" s="17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</row>
    <row r="337" spans="2:18" ht="14.1" customHeight="1" x14ac:dyDescent="0.3">
      <c r="B337" s="110">
        <f t="shared" si="17"/>
        <v>0</v>
      </c>
      <c r="C337" s="110"/>
      <c r="D337" s="110"/>
      <c r="E337" s="17"/>
      <c r="F337" s="17"/>
      <c r="G337" s="17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</row>
    <row r="338" spans="2:18" ht="14.1" customHeight="1" x14ac:dyDescent="0.3">
      <c r="B338" s="110">
        <f t="shared" si="17"/>
        <v>0</v>
      </c>
      <c r="C338" s="110"/>
      <c r="D338" s="110"/>
      <c r="E338" s="17"/>
      <c r="F338" s="17"/>
      <c r="G338" s="17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</row>
    <row r="339" spans="2:18" ht="14.1" customHeight="1" x14ac:dyDescent="0.3">
      <c r="B339" s="110">
        <f t="shared" si="17"/>
        <v>0</v>
      </c>
      <c r="C339" s="110"/>
      <c r="D339" s="110"/>
      <c r="E339" s="17"/>
      <c r="F339" s="17"/>
      <c r="G339" s="17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</row>
    <row r="340" spans="2:18" ht="14.1" customHeight="1" x14ac:dyDescent="0.3">
      <c r="B340" s="110">
        <f>B124</f>
        <v>0</v>
      </c>
      <c r="C340" s="110"/>
      <c r="D340" s="110"/>
      <c r="E340" s="17"/>
      <c r="F340" s="17"/>
      <c r="G340" s="17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</row>
    <row r="341" spans="2:18" ht="14.1" customHeight="1" x14ac:dyDescent="0.3">
      <c r="B341" s="110">
        <f>B125</f>
        <v>0</v>
      </c>
      <c r="C341" s="110"/>
      <c r="D341" s="110"/>
      <c r="E341" s="17"/>
      <c r="F341" s="17"/>
      <c r="G341" s="17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</row>
    <row r="342" spans="2:18" ht="14.1" customHeight="1" x14ac:dyDescent="0.3">
      <c r="B342" s="110">
        <f>B126</f>
        <v>0</v>
      </c>
      <c r="C342" s="110"/>
      <c r="D342" s="110"/>
      <c r="E342" s="17"/>
      <c r="F342" s="17"/>
      <c r="G342" s="17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</row>
    <row r="343" spans="2:18" ht="14.1" customHeight="1" x14ac:dyDescent="0.3">
      <c r="B343" s="112">
        <f t="shared" ref="B343:B358" si="18">B46</f>
        <v>0</v>
      </c>
      <c r="C343" s="113"/>
      <c r="D343" s="114"/>
      <c r="E343" s="17"/>
      <c r="F343" s="17"/>
      <c r="G343" s="17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</row>
    <row r="344" spans="2:18" ht="14.1" customHeight="1" x14ac:dyDescent="0.3">
      <c r="B344" s="110">
        <f t="shared" si="18"/>
        <v>0</v>
      </c>
      <c r="C344" s="110"/>
      <c r="D344" s="110"/>
      <c r="E344" s="17"/>
      <c r="F344" s="17"/>
      <c r="G344" s="17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</row>
    <row r="345" spans="2:18" ht="14.1" customHeight="1" x14ac:dyDescent="0.3">
      <c r="B345" s="110">
        <f t="shared" si="18"/>
        <v>0</v>
      </c>
      <c r="C345" s="110"/>
      <c r="D345" s="110"/>
      <c r="E345" s="17"/>
      <c r="F345" s="17"/>
      <c r="G345" s="17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</row>
    <row r="346" spans="2:18" ht="14.1" customHeight="1" x14ac:dyDescent="0.3">
      <c r="B346" s="110">
        <f t="shared" si="18"/>
        <v>0</v>
      </c>
      <c r="C346" s="110"/>
      <c r="D346" s="110"/>
      <c r="E346" s="17"/>
      <c r="F346" s="17"/>
      <c r="G346" s="17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</row>
    <row r="347" spans="2:18" ht="14.1" customHeight="1" x14ac:dyDescent="0.3">
      <c r="B347" s="110">
        <f t="shared" si="18"/>
        <v>0</v>
      </c>
      <c r="C347" s="110"/>
      <c r="D347" s="110"/>
      <c r="E347" s="17"/>
      <c r="F347" s="17"/>
      <c r="G347" s="17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</row>
    <row r="348" spans="2:18" ht="14.1" customHeight="1" x14ac:dyDescent="0.3">
      <c r="B348" s="110">
        <f t="shared" si="18"/>
        <v>0</v>
      </c>
      <c r="C348" s="110"/>
      <c r="D348" s="110"/>
      <c r="E348" s="17"/>
      <c r="F348" s="17"/>
      <c r="G348" s="17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</row>
    <row r="349" spans="2:18" ht="14.1" customHeight="1" x14ac:dyDescent="0.3">
      <c r="B349" s="110">
        <f t="shared" si="18"/>
        <v>0</v>
      </c>
      <c r="C349" s="110"/>
      <c r="D349" s="110"/>
      <c r="E349" s="17"/>
      <c r="F349" s="17"/>
      <c r="G349" s="17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</row>
    <row r="350" spans="2:18" ht="14.1" customHeight="1" x14ac:dyDescent="0.3">
      <c r="B350" s="110">
        <f t="shared" si="18"/>
        <v>0</v>
      </c>
      <c r="C350" s="110"/>
      <c r="D350" s="110"/>
      <c r="E350" s="17"/>
      <c r="F350" s="17"/>
      <c r="G350" s="17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</row>
    <row r="351" spans="2:18" ht="14.1" customHeight="1" x14ac:dyDescent="0.3">
      <c r="B351" s="110">
        <f t="shared" si="18"/>
        <v>0</v>
      </c>
      <c r="C351" s="110"/>
      <c r="D351" s="110"/>
      <c r="E351" s="17"/>
      <c r="F351" s="17"/>
      <c r="G351" s="17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</row>
    <row r="352" spans="2:18" ht="14.1" customHeight="1" x14ac:dyDescent="0.3">
      <c r="B352" s="110">
        <f t="shared" si="18"/>
        <v>0</v>
      </c>
      <c r="C352" s="110"/>
      <c r="D352" s="110"/>
      <c r="E352" s="17"/>
      <c r="F352" s="17"/>
      <c r="G352" s="17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</row>
    <row r="353" spans="2:18" ht="14.1" customHeight="1" x14ac:dyDescent="0.3">
      <c r="B353" s="110">
        <f t="shared" si="18"/>
        <v>0</v>
      </c>
      <c r="C353" s="110"/>
      <c r="D353" s="110"/>
      <c r="E353" s="17"/>
      <c r="F353" s="17"/>
      <c r="G353" s="17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</row>
    <row r="354" spans="2:18" ht="14.1" customHeight="1" x14ac:dyDescent="0.3">
      <c r="B354" s="110">
        <f t="shared" si="18"/>
        <v>0</v>
      </c>
      <c r="C354" s="110"/>
      <c r="D354" s="110"/>
      <c r="E354" s="17"/>
      <c r="F354" s="17"/>
      <c r="G354" s="17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</row>
    <row r="355" spans="2:18" ht="14.1" customHeight="1" x14ac:dyDescent="0.3">
      <c r="B355" s="110">
        <f t="shared" si="18"/>
        <v>0</v>
      </c>
      <c r="C355" s="110"/>
      <c r="D355" s="110"/>
      <c r="E355" s="17"/>
      <c r="F355" s="17"/>
      <c r="G355" s="17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</row>
    <row r="356" spans="2:18" ht="14.1" customHeight="1" x14ac:dyDescent="0.3">
      <c r="B356" s="110">
        <f t="shared" si="18"/>
        <v>0</v>
      </c>
      <c r="C356" s="110"/>
      <c r="D356" s="110"/>
      <c r="E356" s="17"/>
      <c r="F356" s="17"/>
      <c r="G356" s="17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</row>
    <row r="357" spans="2:18" ht="14.1" customHeight="1" x14ac:dyDescent="0.3">
      <c r="B357" s="110">
        <f t="shared" si="18"/>
        <v>0</v>
      </c>
      <c r="C357" s="110"/>
      <c r="D357" s="110"/>
      <c r="E357" s="17"/>
      <c r="F357" s="17"/>
      <c r="G357" s="17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</row>
    <row r="358" spans="2:18" ht="14.1" customHeight="1" x14ac:dyDescent="0.3">
      <c r="B358" s="110">
        <f t="shared" si="18"/>
        <v>0</v>
      </c>
      <c r="C358" s="110"/>
      <c r="D358" s="110"/>
      <c r="E358" s="17"/>
      <c r="F358" s="17"/>
      <c r="G358" s="17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</row>
    <row r="359" spans="2:18" ht="14.1" customHeight="1" x14ac:dyDescent="0.3">
      <c r="B359" s="110">
        <f>B143</f>
        <v>0</v>
      </c>
      <c r="C359" s="110"/>
      <c r="D359" s="110"/>
      <c r="E359" s="17"/>
      <c r="F359" s="17"/>
      <c r="G359" s="17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</row>
    <row r="360" spans="2:18" ht="14.1" customHeight="1" x14ac:dyDescent="0.3">
      <c r="B360" s="110">
        <f>B144</f>
        <v>0</v>
      </c>
      <c r="C360" s="110"/>
      <c r="D360" s="110"/>
      <c r="E360" s="17"/>
      <c r="F360" s="17"/>
      <c r="G360" s="17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</row>
    <row r="361" spans="2:18" ht="14.1" customHeight="1" x14ac:dyDescent="0.3">
      <c r="B361" s="110">
        <f>B145</f>
        <v>0</v>
      </c>
      <c r="C361" s="110"/>
      <c r="D361" s="110"/>
      <c r="E361" s="17"/>
      <c r="F361" s="17"/>
      <c r="G361" s="17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</row>
    <row r="362" spans="2:18" ht="14.1" customHeight="1" x14ac:dyDescent="0.3">
      <c r="B362" s="110">
        <f>B65</f>
        <v>0</v>
      </c>
      <c r="C362" s="110"/>
      <c r="D362" s="110"/>
      <c r="E362" s="17"/>
      <c r="F362" s="17"/>
      <c r="G362" s="17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</row>
    <row r="363" spans="2:18" ht="14.1" customHeight="1" x14ac:dyDescent="0.3">
      <c r="B363" s="110">
        <f>B66</f>
        <v>0</v>
      </c>
      <c r="C363" s="110"/>
      <c r="D363" s="110"/>
      <c r="E363" s="17"/>
      <c r="F363" s="17"/>
      <c r="G363" s="17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</row>
    <row r="364" spans="2:18" ht="14.1" customHeight="1" x14ac:dyDescent="0.3">
      <c r="B364" s="110">
        <f>B67</f>
        <v>0</v>
      </c>
      <c r="C364" s="110"/>
      <c r="D364" s="110"/>
      <c r="E364" s="17"/>
      <c r="F364" s="17"/>
      <c r="G364" s="17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</row>
    <row r="365" spans="2:18" ht="14.1" customHeight="1" x14ac:dyDescent="0.3">
      <c r="B365" s="110">
        <f>B149</f>
        <v>0</v>
      </c>
      <c r="C365" s="110"/>
      <c r="D365" s="110"/>
      <c r="E365" s="17"/>
      <c r="F365" s="17"/>
      <c r="G365" s="17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</row>
    <row r="366" spans="2:18" ht="14.1" customHeight="1" x14ac:dyDescent="0.3">
      <c r="B366" s="110">
        <f>B150</f>
        <v>0</v>
      </c>
      <c r="C366" s="110"/>
      <c r="D366" s="110"/>
      <c r="E366" s="17"/>
      <c r="F366" s="17"/>
      <c r="G366" s="17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</row>
    <row r="367" spans="2:18" ht="14.1" customHeight="1" x14ac:dyDescent="0.3">
      <c r="B367" s="110">
        <f>B151</f>
        <v>0</v>
      </c>
      <c r="C367" s="110"/>
      <c r="D367" s="110"/>
      <c r="E367" s="17"/>
      <c r="F367" s="17"/>
      <c r="G367" s="17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</row>
    <row r="368" spans="2:18" ht="14.1" customHeight="1" x14ac:dyDescent="0.3">
      <c r="B368" s="110">
        <f>B71</f>
        <v>0</v>
      </c>
      <c r="C368" s="110"/>
      <c r="D368" s="110"/>
      <c r="E368" s="17"/>
      <c r="F368" s="17"/>
      <c r="G368" s="17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</row>
    <row r="369" spans="2:18" ht="14.1" customHeight="1" x14ac:dyDescent="0.3">
      <c r="B369" s="110">
        <f>B153</f>
        <v>0</v>
      </c>
      <c r="C369" s="110"/>
      <c r="D369" s="110"/>
      <c r="E369" s="17"/>
      <c r="F369" s="17"/>
      <c r="G369" s="17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</row>
    <row r="370" spans="2:18" ht="14.1" customHeight="1" x14ac:dyDescent="0.3">
      <c r="B370" s="110">
        <f>B154</f>
        <v>0</v>
      </c>
      <c r="C370" s="110"/>
      <c r="D370" s="110"/>
      <c r="E370" s="17"/>
      <c r="F370" s="17"/>
      <c r="G370" s="17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</row>
    <row r="371" spans="2:18" ht="14.1" customHeight="1" x14ac:dyDescent="0.3">
      <c r="B371" s="110">
        <f>B155</f>
        <v>0</v>
      </c>
      <c r="C371" s="110"/>
      <c r="D371" s="110"/>
      <c r="E371" s="17"/>
      <c r="F371" s="17"/>
      <c r="G371" s="17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</row>
    <row r="372" spans="2:18" ht="14.1" customHeight="1" x14ac:dyDescent="0.3">
      <c r="B372" s="110">
        <f>B156</f>
        <v>0</v>
      </c>
      <c r="C372" s="110"/>
      <c r="D372" s="110"/>
      <c r="E372" s="17"/>
      <c r="F372" s="17"/>
      <c r="G372" s="17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</row>
    <row r="373" spans="2:18" ht="14.1" customHeight="1" x14ac:dyDescent="0.3">
      <c r="B373" s="110">
        <f>B108</f>
        <v>0</v>
      </c>
      <c r="C373" s="110"/>
      <c r="D373" s="110"/>
      <c r="E373" s="17"/>
      <c r="F373" s="17"/>
      <c r="G373" s="17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</row>
    <row r="374" spans="2:18" ht="14.1" customHeight="1" x14ac:dyDescent="0.3">
      <c r="B374" s="16"/>
      <c r="C374" s="21"/>
      <c r="D374" s="8" t="s">
        <v>29</v>
      </c>
      <c r="E374" s="9">
        <f t="shared" ref="E374:K374" si="19">SUM(E305:E373)</f>
        <v>0</v>
      </c>
      <c r="F374" s="9">
        <f t="shared" si="19"/>
        <v>0</v>
      </c>
      <c r="G374" s="26">
        <f t="shared" si="19"/>
        <v>0</v>
      </c>
      <c r="H374" s="9">
        <f t="shared" si="19"/>
        <v>0</v>
      </c>
      <c r="I374" s="9">
        <f t="shared" si="19"/>
        <v>0</v>
      </c>
      <c r="J374" s="9">
        <f t="shared" si="19"/>
        <v>0</v>
      </c>
      <c r="K374" s="26">
        <f t="shared" si="19"/>
        <v>0</v>
      </c>
      <c r="L374" s="9"/>
      <c r="M374" s="26">
        <f t="shared" ref="M374:R374" si="20">SUM(M305:M373)</f>
        <v>0</v>
      </c>
      <c r="N374" s="26">
        <f t="shared" si="20"/>
        <v>0</v>
      </c>
      <c r="O374" s="9">
        <f t="shared" si="20"/>
        <v>0</v>
      </c>
      <c r="P374" s="9">
        <f t="shared" si="20"/>
        <v>0</v>
      </c>
      <c r="Q374" s="26">
        <f t="shared" si="20"/>
        <v>0</v>
      </c>
      <c r="R374" s="9">
        <f t="shared" si="20"/>
        <v>0</v>
      </c>
    </row>
    <row r="375" spans="2:18" ht="14.1" customHeight="1" x14ac:dyDescent="0.3">
      <c r="B375" s="8"/>
      <c r="C375" s="15"/>
      <c r="D375" s="29"/>
      <c r="E375" s="21"/>
      <c r="F375" s="21"/>
      <c r="G375" s="21"/>
    </row>
    <row r="376" spans="2:18" ht="14.1" customHeight="1" x14ac:dyDescent="0.3">
      <c r="B376" s="29"/>
      <c r="C376" s="21"/>
      <c r="D376" s="29"/>
      <c r="E376" s="21"/>
      <c r="F376" s="21"/>
      <c r="G376" s="21"/>
    </row>
    <row r="377" spans="2:18" ht="14.1" customHeight="1" x14ac:dyDescent="0.3">
      <c r="B377" s="15"/>
      <c r="C377" s="15"/>
      <c r="D377" s="15"/>
      <c r="E377" s="116" t="s">
        <v>42</v>
      </c>
      <c r="F377" s="116"/>
      <c r="G377" s="116"/>
      <c r="H377" s="116"/>
      <c r="I377" s="116"/>
      <c r="J377" s="116"/>
      <c r="K377" s="116" t="s">
        <v>43</v>
      </c>
      <c r="L377" s="116"/>
      <c r="M377" s="116"/>
      <c r="N377" s="116"/>
      <c r="O377" s="116"/>
      <c r="P377" s="116"/>
    </row>
    <row r="378" spans="2:18" ht="14.1" customHeight="1" x14ac:dyDescent="0.3">
      <c r="B378" s="116" t="s">
        <v>5</v>
      </c>
      <c r="C378" s="116"/>
      <c r="D378" s="116"/>
      <c r="E378" s="9" t="s">
        <v>19</v>
      </c>
      <c r="F378" s="30" t="s">
        <v>44</v>
      </c>
      <c r="G378" s="23" t="s">
        <v>21</v>
      </c>
      <c r="H378" s="116" t="s">
        <v>24</v>
      </c>
      <c r="I378" s="116"/>
      <c r="J378" s="9" t="s">
        <v>25</v>
      </c>
      <c r="K378" s="23" t="s">
        <v>45</v>
      </c>
      <c r="L378" s="30" t="s">
        <v>44</v>
      </c>
      <c r="M378" s="23" t="s">
        <v>46</v>
      </c>
      <c r="N378" s="116" t="s">
        <v>24</v>
      </c>
      <c r="O378" s="116"/>
      <c r="P378" s="9" t="s">
        <v>25</v>
      </c>
    </row>
    <row r="379" spans="2:18" ht="14.1" customHeight="1" x14ac:dyDescent="0.3">
      <c r="B379" s="116"/>
      <c r="C379" s="116"/>
      <c r="D379" s="116"/>
      <c r="E379" s="17" t="s">
        <v>28</v>
      </c>
      <c r="F379" s="17" t="s">
        <v>28</v>
      </c>
      <c r="G379" s="17" t="s">
        <v>28</v>
      </c>
      <c r="H379" s="17" t="s">
        <v>11</v>
      </c>
      <c r="I379" s="17" t="s">
        <v>13</v>
      </c>
      <c r="J379" s="17" t="s">
        <v>13</v>
      </c>
      <c r="K379" s="17" t="s">
        <v>28</v>
      </c>
      <c r="L379" s="17" t="s">
        <v>28</v>
      </c>
      <c r="M379" s="17" t="s">
        <v>28</v>
      </c>
      <c r="N379" s="17" t="s">
        <v>11</v>
      </c>
      <c r="O379" s="17" t="s">
        <v>13</v>
      </c>
      <c r="P379" s="17" t="s">
        <v>13</v>
      </c>
    </row>
    <row r="380" spans="2:18" ht="14.1" customHeight="1" x14ac:dyDescent="0.3">
      <c r="B380" s="110">
        <f t="shared" ref="B380:B395" si="21">B8</f>
        <v>0</v>
      </c>
      <c r="C380" s="110"/>
      <c r="D380" s="110"/>
      <c r="E380" s="17"/>
      <c r="F380" s="17"/>
      <c r="G380" s="17"/>
      <c r="H380" s="19"/>
      <c r="I380" s="19"/>
      <c r="J380" s="19"/>
      <c r="K380" s="17"/>
      <c r="L380" s="17"/>
      <c r="M380" s="17"/>
      <c r="N380" s="19"/>
      <c r="O380" s="19"/>
      <c r="P380" s="19"/>
    </row>
    <row r="381" spans="2:18" ht="14.1" customHeight="1" x14ac:dyDescent="0.3">
      <c r="B381" s="110">
        <f t="shared" si="21"/>
        <v>0</v>
      </c>
      <c r="C381" s="110"/>
      <c r="D381" s="110"/>
      <c r="E381" s="17"/>
      <c r="F381" s="17"/>
      <c r="G381" s="17"/>
      <c r="H381" s="19"/>
      <c r="I381" s="19"/>
      <c r="J381" s="19"/>
      <c r="K381" s="17"/>
      <c r="L381" s="17"/>
      <c r="M381" s="17"/>
      <c r="N381" s="19"/>
      <c r="O381" s="19"/>
      <c r="P381" s="19"/>
    </row>
    <row r="382" spans="2:18" ht="14.1" customHeight="1" x14ac:dyDescent="0.3">
      <c r="B382" s="110">
        <f t="shared" si="21"/>
        <v>0</v>
      </c>
      <c r="C382" s="110"/>
      <c r="D382" s="110"/>
      <c r="E382" s="17"/>
      <c r="F382" s="17"/>
      <c r="G382" s="17"/>
      <c r="H382" s="19"/>
      <c r="I382" s="19"/>
      <c r="J382" s="19"/>
      <c r="K382" s="17"/>
      <c r="L382" s="17"/>
      <c r="M382" s="17"/>
      <c r="N382" s="19"/>
      <c r="O382" s="19"/>
      <c r="P382" s="19"/>
    </row>
    <row r="383" spans="2:18" ht="14.1" customHeight="1" x14ac:dyDescent="0.3">
      <c r="B383" s="110">
        <f t="shared" si="21"/>
        <v>0</v>
      </c>
      <c r="C383" s="110"/>
      <c r="D383" s="110"/>
      <c r="E383" s="17"/>
      <c r="F383" s="17"/>
      <c r="G383" s="17"/>
      <c r="H383" s="19"/>
      <c r="I383" s="19"/>
      <c r="J383" s="19"/>
      <c r="K383" s="17"/>
      <c r="L383" s="17"/>
      <c r="M383" s="17"/>
      <c r="N383" s="19"/>
      <c r="O383" s="19"/>
      <c r="P383" s="19"/>
    </row>
    <row r="384" spans="2:18" ht="14.1" customHeight="1" x14ac:dyDescent="0.3">
      <c r="B384" s="110">
        <f t="shared" si="21"/>
        <v>0</v>
      </c>
      <c r="C384" s="110"/>
      <c r="D384" s="110"/>
      <c r="E384" s="17"/>
      <c r="F384" s="17"/>
      <c r="G384" s="17"/>
      <c r="H384" s="19"/>
      <c r="I384" s="19"/>
      <c r="J384" s="19"/>
      <c r="K384" s="17"/>
      <c r="L384" s="17"/>
      <c r="M384" s="17"/>
      <c r="N384" s="19"/>
      <c r="O384" s="19"/>
      <c r="P384" s="19"/>
    </row>
    <row r="385" spans="2:16" ht="14.1" customHeight="1" x14ac:dyDescent="0.3">
      <c r="B385" s="110">
        <f t="shared" si="21"/>
        <v>0</v>
      </c>
      <c r="C385" s="110"/>
      <c r="D385" s="110"/>
      <c r="E385" s="17"/>
      <c r="F385" s="17"/>
      <c r="G385" s="17"/>
      <c r="H385" s="19"/>
      <c r="I385" s="19"/>
      <c r="J385" s="19"/>
      <c r="K385" s="17"/>
      <c r="L385" s="17"/>
      <c r="M385" s="17"/>
      <c r="N385" s="19"/>
      <c r="O385" s="19"/>
      <c r="P385" s="19"/>
    </row>
    <row r="386" spans="2:16" ht="14.1" customHeight="1" x14ac:dyDescent="0.3">
      <c r="B386" s="110">
        <f t="shared" si="21"/>
        <v>0</v>
      </c>
      <c r="C386" s="110"/>
      <c r="D386" s="110"/>
      <c r="E386" s="17"/>
      <c r="F386" s="17"/>
      <c r="G386" s="17"/>
      <c r="H386" s="19"/>
      <c r="I386" s="19"/>
      <c r="J386" s="19"/>
      <c r="K386" s="17"/>
      <c r="L386" s="17"/>
      <c r="M386" s="17"/>
      <c r="N386" s="19"/>
      <c r="O386" s="19"/>
      <c r="P386" s="19"/>
    </row>
    <row r="387" spans="2:16" ht="14.1" customHeight="1" x14ac:dyDescent="0.3">
      <c r="B387" s="110">
        <f t="shared" si="21"/>
        <v>0</v>
      </c>
      <c r="C387" s="110"/>
      <c r="D387" s="110"/>
      <c r="E387" s="17"/>
      <c r="F387" s="17"/>
      <c r="G387" s="17"/>
      <c r="H387" s="19"/>
      <c r="I387" s="19"/>
      <c r="J387" s="19"/>
      <c r="K387" s="17"/>
      <c r="L387" s="17"/>
      <c r="M387" s="17"/>
      <c r="N387" s="19"/>
      <c r="O387" s="19"/>
      <c r="P387" s="19"/>
    </row>
    <row r="388" spans="2:16" ht="14.1" customHeight="1" x14ac:dyDescent="0.3">
      <c r="B388" s="110">
        <f t="shared" si="21"/>
        <v>0</v>
      </c>
      <c r="C388" s="110"/>
      <c r="D388" s="110"/>
      <c r="E388" s="17"/>
      <c r="F388" s="17"/>
      <c r="G388" s="17"/>
      <c r="H388" s="19"/>
      <c r="I388" s="19"/>
      <c r="J388" s="19"/>
      <c r="K388" s="17"/>
      <c r="L388" s="17"/>
      <c r="M388" s="17"/>
      <c r="N388" s="19"/>
      <c r="O388" s="19"/>
      <c r="P388" s="19"/>
    </row>
    <row r="389" spans="2:16" ht="14.1" customHeight="1" x14ac:dyDescent="0.3">
      <c r="B389" s="110">
        <f t="shared" si="21"/>
        <v>0</v>
      </c>
      <c r="C389" s="110"/>
      <c r="D389" s="110"/>
      <c r="E389" s="17"/>
      <c r="F389" s="17"/>
      <c r="G389" s="17"/>
      <c r="H389" s="19"/>
      <c r="I389" s="19"/>
      <c r="J389" s="19"/>
      <c r="K389" s="17"/>
      <c r="L389" s="17"/>
      <c r="M389" s="17"/>
      <c r="N389" s="19"/>
      <c r="O389" s="19"/>
      <c r="P389" s="19"/>
    </row>
    <row r="390" spans="2:16" ht="14.1" customHeight="1" x14ac:dyDescent="0.3">
      <c r="B390" s="110">
        <f t="shared" si="21"/>
        <v>0</v>
      </c>
      <c r="C390" s="110"/>
      <c r="D390" s="110"/>
      <c r="E390" s="17"/>
      <c r="F390" s="17"/>
      <c r="G390" s="17"/>
      <c r="H390" s="19"/>
      <c r="I390" s="19"/>
      <c r="J390" s="19"/>
      <c r="K390" s="17"/>
      <c r="L390" s="17"/>
      <c r="M390" s="17"/>
      <c r="N390" s="19"/>
      <c r="O390" s="19"/>
      <c r="P390" s="19"/>
    </row>
    <row r="391" spans="2:16" ht="14.1" customHeight="1" x14ac:dyDescent="0.3">
      <c r="B391" s="110">
        <f t="shared" si="21"/>
        <v>0</v>
      </c>
      <c r="C391" s="110"/>
      <c r="D391" s="110"/>
      <c r="E391" s="17"/>
      <c r="F391" s="17"/>
      <c r="G391" s="17"/>
      <c r="H391" s="19"/>
      <c r="I391" s="19"/>
      <c r="J391" s="19"/>
      <c r="K391" s="17"/>
      <c r="L391" s="17"/>
      <c r="M391" s="17"/>
      <c r="N391" s="19"/>
      <c r="O391" s="19"/>
      <c r="P391" s="19"/>
    </row>
    <row r="392" spans="2:16" ht="14.1" customHeight="1" x14ac:dyDescent="0.3">
      <c r="B392" s="110">
        <f t="shared" si="21"/>
        <v>0</v>
      </c>
      <c r="C392" s="110"/>
      <c r="D392" s="110"/>
      <c r="E392" s="17"/>
      <c r="F392" s="17"/>
      <c r="G392" s="17"/>
      <c r="H392" s="19"/>
      <c r="I392" s="19"/>
      <c r="J392" s="19"/>
      <c r="K392" s="17"/>
      <c r="L392" s="17"/>
      <c r="M392" s="17"/>
      <c r="N392" s="19"/>
      <c r="O392" s="19"/>
      <c r="P392" s="19"/>
    </row>
    <row r="393" spans="2:16" ht="14.1" customHeight="1" x14ac:dyDescent="0.3">
      <c r="B393" s="110">
        <f t="shared" si="21"/>
        <v>0</v>
      </c>
      <c r="C393" s="110"/>
      <c r="D393" s="110"/>
      <c r="E393" s="17"/>
      <c r="F393" s="17"/>
      <c r="G393" s="17"/>
      <c r="H393" s="19"/>
      <c r="I393" s="19"/>
      <c r="J393" s="19"/>
      <c r="K393" s="17"/>
      <c r="L393" s="17"/>
      <c r="M393" s="17"/>
      <c r="N393" s="19"/>
      <c r="O393" s="19"/>
      <c r="P393" s="19"/>
    </row>
    <row r="394" spans="2:16" ht="14.1" customHeight="1" x14ac:dyDescent="0.3">
      <c r="B394" s="110">
        <f t="shared" si="21"/>
        <v>0</v>
      </c>
      <c r="C394" s="110"/>
      <c r="D394" s="110"/>
      <c r="E394" s="17"/>
      <c r="F394" s="17"/>
      <c r="G394" s="17"/>
      <c r="H394" s="19"/>
      <c r="I394" s="19"/>
      <c r="J394" s="19"/>
      <c r="K394" s="17"/>
      <c r="L394" s="17"/>
      <c r="M394" s="17"/>
      <c r="N394" s="19"/>
      <c r="O394" s="19"/>
      <c r="P394" s="19"/>
    </row>
    <row r="395" spans="2:16" ht="14.1" customHeight="1" x14ac:dyDescent="0.3">
      <c r="B395" s="110">
        <f t="shared" si="21"/>
        <v>0</v>
      </c>
      <c r="C395" s="110"/>
      <c r="D395" s="110"/>
      <c r="E395" s="17"/>
      <c r="F395" s="17"/>
      <c r="G395" s="17"/>
      <c r="H395" s="19"/>
      <c r="I395" s="19"/>
      <c r="J395" s="19"/>
      <c r="K395" s="17"/>
      <c r="L395" s="17"/>
      <c r="M395" s="17"/>
      <c r="N395" s="19"/>
      <c r="O395" s="19"/>
      <c r="P395" s="19"/>
    </row>
    <row r="396" spans="2:16" ht="14.1" customHeight="1" x14ac:dyDescent="0.3">
      <c r="B396" s="110">
        <f>B83</f>
        <v>0</v>
      </c>
      <c r="C396" s="110"/>
      <c r="D396" s="110"/>
      <c r="E396" s="17"/>
      <c r="F396" s="17"/>
      <c r="G396" s="17"/>
      <c r="H396" s="19"/>
      <c r="I396" s="19"/>
      <c r="J396" s="19"/>
      <c r="K396" s="17"/>
      <c r="L396" s="17"/>
      <c r="M396" s="17"/>
      <c r="N396" s="19"/>
      <c r="O396" s="19"/>
      <c r="P396" s="19"/>
    </row>
    <row r="397" spans="2:16" ht="14.1" customHeight="1" x14ac:dyDescent="0.3">
      <c r="B397" s="110">
        <f>B84</f>
        <v>0</v>
      </c>
      <c r="C397" s="110"/>
      <c r="D397" s="110"/>
      <c r="E397" s="17"/>
      <c r="F397" s="17"/>
      <c r="G397" s="17"/>
      <c r="H397" s="19"/>
      <c r="I397" s="19"/>
      <c r="J397" s="19"/>
      <c r="K397" s="17"/>
      <c r="L397" s="17"/>
      <c r="M397" s="17"/>
      <c r="N397" s="19"/>
      <c r="O397" s="19"/>
      <c r="P397" s="19"/>
    </row>
    <row r="398" spans="2:16" ht="14.1" customHeight="1" x14ac:dyDescent="0.3">
      <c r="B398" s="110">
        <f>B85</f>
        <v>0</v>
      </c>
      <c r="C398" s="110"/>
      <c r="D398" s="110"/>
      <c r="E398" s="17"/>
      <c r="F398" s="17"/>
      <c r="G398" s="17"/>
      <c r="H398" s="19"/>
      <c r="I398" s="19"/>
      <c r="J398" s="19"/>
      <c r="K398" s="17"/>
      <c r="L398" s="17"/>
      <c r="M398" s="17"/>
      <c r="N398" s="19"/>
      <c r="O398" s="19"/>
      <c r="P398" s="19"/>
    </row>
    <row r="399" spans="2:16" ht="14.1" customHeight="1" x14ac:dyDescent="0.3">
      <c r="B399" s="110">
        <f t="shared" ref="B399:B414" si="22">B27</f>
        <v>0</v>
      </c>
      <c r="C399" s="110"/>
      <c r="D399" s="110"/>
      <c r="E399" s="17"/>
      <c r="F399" s="17"/>
      <c r="G399" s="17"/>
      <c r="H399" s="19"/>
      <c r="I399" s="19"/>
      <c r="J399" s="19"/>
      <c r="K399" s="17"/>
      <c r="L399" s="17"/>
      <c r="M399" s="17"/>
      <c r="N399" s="19"/>
      <c r="O399" s="19"/>
      <c r="P399" s="19"/>
    </row>
    <row r="400" spans="2:16" ht="14.1" customHeight="1" x14ac:dyDescent="0.3">
      <c r="B400" s="110">
        <f t="shared" si="22"/>
        <v>0</v>
      </c>
      <c r="C400" s="110"/>
      <c r="D400" s="110"/>
      <c r="E400" s="17"/>
      <c r="F400" s="17"/>
      <c r="G400" s="17"/>
      <c r="H400" s="19"/>
      <c r="I400" s="19"/>
      <c r="J400" s="19"/>
      <c r="K400" s="17"/>
      <c r="L400" s="17"/>
      <c r="M400" s="17"/>
      <c r="N400" s="19"/>
      <c r="O400" s="19"/>
      <c r="P400" s="19"/>
    </row>
    <row r="401" spans="2:16" ht="14.1" customHeight="1" x14ac:dyDescent="0.3">
      <c r="B401" s="110">
        <f t="shared" si="22"/>
        <v>0</v>
      </c>
      <c r="C401" s="110"/>
      <c r="D401" s="110"/>
      <c r="E401" s="17"/>
      <c r="F401" s="17"/>
      <c r="G401" s="17"/>
      <c r="H401" s="19"/>
      <c r="I401" s="19"/>
      <c r="J401" s="19"/>
      <c r="K401" s="17"/>
      <c r="L401" s="17"/>
      <c r="M401" s="17"/>
      <c r="N401" s="19"/>
      <c r="O401" s="19"/>
      <c r="P401" s="19"/>
    </row>
    <row r="402" spans="2:16" ht="14.1" customHeight="1" x14ac:dyDescent="0.3">
      <c r="B402" s="110">
        <f t="shared" si="22"/>
        <v>0</v>
      </c>
      <c r="C402" s="110"/>
      <c r="D402" s="110"/>
      <c r="E402" s="17"/>
      <c r="F402" s="17"/>
      <c r="G402" s="17"/>
      <c r="H402" s="19"/>
      <c r="I402" s="19"/>
      <c r="J402" s="19"/>
      <c r="K402" s="17"/>
      <c r="L402" s="17"/>
      <c r="M402" s="17"/>
      <c r="N402" s="19"/>
      <c r="O402" s="19"/>
      <c r="P402" s="19"/>
    </row>
    <row r="403" spans="2:16" ht="14.1" customHeight="1" x14ac:dyDescent="0.3">
      <c r="B403" s="110">
        <f t="shared" si="22"/>
        <v>0</v>
      </c>
      <c r="C403" s="110"/>
      <c r="D403" s="110"/>
      <c r="E403" s="17"/>
      <c r="F403" s="17"/>
      <c r="G403" s="17"/>
      <c r="H403" s="19"/>
      <c r="I403" s="19"/>
      <c r="J403" s="19"/>
      <c r="K403" s="17"/>
      <c r="L403" s="17"/>
      <c r="M403" s="17"/>
      <c r="N403" s="19"/>
      <c r="O403" s="19"/>
      <c r="P403" s="19"/>
    </row>
    <row r="404" spans="2:16" ht="14.1" customHeight="1" x14ac:dyDescent="0.3">
      <c r="B404" s="110">
        <f t="shared" si="22"/>
        <v>0</v>
      </c>
      <c r="C404" s="110"/>
      <c r="D404" s="110"/>
      <c r="E404" s="17"/>
      <c r="F404" s="17"/>
      <c r="G404" s="17"/>
      <c r="H404" s="19"/>
      <c r="I404" s="19"/>
      <c r="J404" s="19"/>
      <c r="K404" s="17"/>
      <c r="L404" s="17"/>
      <c r="M404" s="17"/>
      <c r="N404" s="19"/>
      <c r="O404" s="19"/>
      <c r="P404" s="19"/>
    </row>
    <row r="405" spans="2:16" ht="14.1" customHeight="1" x14ac:dyDescent="0.3">
      <c r="B405" s="110">
        <f t="shared" si="22"/>
        <v>0</v>
      </c>
      <c r="C405" s="110"/>
      <c r="D405" s="110"/>
      <c r="E405" s="17"/>
      <c r="F405" s="17"/>
      <c r="G405" s="17"/>
      <c r="H405" s="19"/>
      <c r="I405" s="19"/>
      <c r="J405" s="19"/>
      <c r="K405" s="17"/>
      <c r="L405" s="17"/>
      <c r="M405" s="17"/>
      <c r="N405" s="19"/>
      <c r="O405" s="19"/>
      <c r="P405" s="19"/>
    </row>
    <row r="406" spans="2:16" ht="14.1" customHeight="1" x14ac:dyDescent="0.3">
      <c r="B406" s="110">
        <f t="shared" si="22"/>
        <v>0</v>
      </c>
      <c r="C406" s="110"/>
      <c r="D406" s="110"/>
      <c r="E406" s="17"/>
      <c r="F406" s="17"/>
      <c r="G406" s="17"/>
      <c r="H406" s="19"/>
      <c r="I406" s="19"/>
      <c r="J406" s="19"/>
      <c r="K406" s="17"/>
      <c r="L406" s="17"/>
      <c r="M406" s="17"/>
      <c r="N406" s="19"/>
      <c r="O406" s="19"/>
      <c r="P406" s="19"/>
    </row>
    <row r="407" spans="2:16" ht="14.1" customHeight="1" x14ac:dyDescent="0.3">
      <c r="B407" s="110">
        <f t="shared" si="22"/>
        <v>0</v>
      </c>
      <c r="C407" s="110"/>
      <c r="D407" s="110"/>
      <c r="E407" s="17"/>
      <c r="F407" s="17"/>
      <c r="G407" s="17"/>
      <c r="H407" s="19"/>
      <c r="I407" s="19"/>
      <c r="J407" s="19"/>
      <c r="K407" s="17"/>
      <c r="L407" s="17"/>
      <c r="M407" s="17"/>
      <c r="N407" s="19"/>
      <c r="O407" s="19"/>
      <c r="P407" s="19"/>
    </row>
    <row r="408" spans="2:16" ht="14.1" customHeight="1" x14ac:dyDescent="0.3">
      <c r="B408" s="110">
        <f t="shared" si="22"/>
        <v>0</v>
      </c>
      <c r="C408" s="110"/>
      <c r="D408" s="110"/>
      <c r="E408" s="17"/>
      <c r="F408" s="17"/>
      <c r="G408" s="17"/>
      <c r="H408" s="19"/>
      <c r="I408" s="19"/>
      <c r="J408" s="19"/>
      <c r="K408" s="17"/>
      <c r="L408" s="17"/>
      <c r="M408" s="17"/>
      <c r="N408" s="19"/>
      <c r="O408" s="19"/>
      <c r="P408" s="19"/>
    </row>
    <row r="409" spans="2:16" ht="14.1" customHeight="1" x14ac:dyDescent="0.3">
      <c r="B409" s="110">
        <f t="shared" si="22"/>
        <v>0</v>
      </c>
      <c r="C409" s="110"/>
      <c r="D409" s="110"/>
      <c r="E409" s="17"/>
      <c r="F409" s="17"/>
      <c r="G409" s="17"/>
      <c r="H409" s="19"/>
      <c r="I409" s="19"/>
      <c r="J409" s="19"/>
      <c r="K409" s="17"/>
      <c r="L409" s="17"/>
      <c r="M409" s="17"/>
      <c r="N409" s="19"/>
      <c r="O409" s="19"/>
      <c r="P409" s="19"/>
    </row>
    <row r="410" spans="2:16" ht="14.1" customHeight="1" x14ac:dyDescent="0.3">
      <c r="B410" s="110">
        <f t="shared" si="22"/>
        <v>0</v>
      </c>
      <c r="C410" s="110"/>
      <c r="D410" s="110"/>
      <c r="E410" s="17"/>
      <c r="F410" s="17"/>
      <c r="G410" s="17"/>
      <c r="H410" s="19"/>
      <c r="I410" s="19"/>
      <c r="J410" s="19"/>
      <c r="K410" s="17"/>
      <c r="L410" s="17"/>
      <c r="M410" s="17"/>
      <c r="N410" s="19"/>
      <c r="O410" s="19"/>
      <c r="P410" s="19"/>
    </row>
    <row r="411" spans="2:16" ht="14.1" customHeight="1" x14ac:dyDescent="0.3">
      <c r="B411" s="110">
        <f t="shared" si="22"/>
        <v>0</v>
      </c>
      <c r="C411" s="110"/>
      <c r="D411" s="110"/>
      <c r="E411" s="17"/>
      <c r="F411" s="17"/>
      <c r="G411" s="17"/>
      <c r="H411" s="19"/>
      <c r="I411" s="19"/>
      <c r="J411" s="19"/>
      <c r="K411" s="17"/>
      <c r="L411" s="17"/>
      <c r="M411" s="17"/>
      <c r="N411" s="19"/>
      <c r="O411" s="19"/>
      <c r="P411" s="19"/>
    </row>
    <row r="412" spans="2:16" ht="14.1" customHeight="1" x14ac:dyDescent="0.3">
      <c r="B412" s="110">
        <f t="shared" si="22"/>
        <v>0</v>
      </c>
      <c r="C412" s="110"/>
      <c r="D412" s="110"/>
      <c r="E412" s="17"/>
      <c r="F412" s="17"/>
      <c r="G412" s="17"/>
      <c r="H412" s="19"/>
      <c r="I412" s="19"/>
      <c r="J412" s="19"/>
      <c r="K412" s="17"/>
      <c r="L412" s="17"/>
      <c r="M412" s="17"/>
      <c r="N412" s="19"/>
      <c r="O412" s="19"/>
      <c r="P412" s="19"/>
    </row>
    <row r="413" spans="2:16" ht="14.1" customHeight="1" x14ac:dyDescent="0.3">
      <c r="B413" s="110">
        <f t="shared" si="22"/>
        <v>0</v>
      </c>
      <c r="C413" s="110"/>
      <c r="D413" s="110"/>
      <c r="E413" s="17"/>
      <c r="F413" s="17"/>
      <c r="G413" s="17"/>
      <c r="H413" s="19"/>
      <c r="I413" s="19"/>
      <c r="J413" s="19"/>
      <c r="K413" s="17"/>
      <c r="L413" s="17"/>
      <c r="M413" s="17"/>
      <c r="N413" s="19"/>
      <c r="O413" s="19"/>
      <c r="P413" s="19"/>
    </row>
    <row r="414" spans="2:16" ht="14.1" customHeight="1" x14ac:dyDescent="0.3">
      <c r="B414" s="110">
        <f t="shared" si="22"/>
        <v>0</v>
      </c>
      <c r="C414" s="110"/>
      <c r="D414" s="110"/>
      <c r="E414" s="17"/>
      <c r="F414" s="17"/>
      <c r="G414" s="17"/>
      <c r="H414" s="19"/>
      <c r="I414" s="19"/>
      <c r="J414" s="19"/>
      <c r="K414" s="17"/>
      <c r="L414" s="17"/>
      <c r="M414" s="17"/>
      <c r="N414" s="19"/>
      <c r="O414" s="19"/>
      <c r="P414" s="19"/>
    </row>
    <row r="415" spans="2:16" ht="14.1" customHeight="1" x14ac:dyDescent="0.3">
      <c r="B415" s="110">
        <f t="shared" ref="B415:B417" si="23">B124</f>
        <v>0</v>
      </c>
      <c r="C415" s="110"/>
      <c r="D415" s="110"/>
      <c r="E415" s="17"/>
      <c r="F415" s="17"/>
      <c r="G415" s="17"/>
      <c r="H415" s="19"/>
      <c r="I415" s="19"/>
      <c r="J415" s="19"/>
      <c r="K415" s="17"/>
      <c r="L415" s="17"/>
      <c r="M415" s="17"/>
      <c r="N415" s="19"/>
      <c r="O415" s="19"/>
      <c r="P415" s="19"/>
    </row>
    <row r="416" spans="2:16" ht="14.1" customHeight="1" x14ac:dyDescent="0.3">
      <c r="B416" s="110">
        <f t="shared" si="23"/>
        <v>0</v>
      </c>
      <c r="C416" s="110"/>
      <c r="D416" s="110"/>
      <c r="E416" s="17"/>
      <c r="F416" s="17"/>
      <c r="G416" s="17"/>
      <c r="H416" s="19"/>
      <c r="I416" s="19"/>
      <c r="J416" s="19"/>
      <c r="K416" s="17"/>
      <c r="L416" s="17"/>
      <c r="M416" s="17"/>
      <c r="N416" s="19"/>
      <c r="O416" s="19"/>
      <c r="P416" s="19"/>
    </row>
    <row r="417" spans="2:16" ht="14.1" customHeight="1" x14ac:dyDescent="0.3">
      <c r="B417" s="110">
        <f t="shared" si="23"/>
        <v>0</v>
      </c>
      <c r="C417" s="110"/>
      <c r="D417" s="110"/>
      <c r="E417" s="17"/>
      <c r="F417" s="17"/>
      <c r="G417" s="17"/>
      <c r="H417" s="19"/>
      <c r="I417" s="19"/>
      <c r="J417" s="19"/>
      <c r="K417" s="17"/>
      <c r="L417" s="17"/>
      <c r="M417" s="17"/>
      <c r="N417" s="19"/>
      <c r="O417" s="19"/>
      <c r="P417" s="19"/>
    </row>
    <row r="418" spans="2:16" ht="14.1" customHeight="1" x14ac:dyDescent="0.3">
      <c r="B418" s="110">
        <f t="shared" ref="B418:B433" si="24">B46</f>
        <v>0</v>
      </c>
      <c r="C418" s="110"/>
      <c r="D418" s="110"/>
      <c r="E418" s="17"/>
      <c r="F418" s="17"/>
      <c r="G418" s="17"/>
      <c r="H418" s="19"/>
      <c r="I418" s="19"/>
      <c r="J418" s="19"/>
      <c r="K418" s="17"/>
      <c r="L418" s="17"/>
      <c r="M418" s="17"/>
      <c r="N418" s="19"/>
      <c r="O418" s="19"/>
      <c r="P418" s="19"/>
    </row>
    <row r="419" spans="2:16" ht="14.1" customHeight="1" x14ac:dyDescent="0.3">
      <c r="B419" s="110">
        <f t="shared" si="24"/>
        <v>0</v>
      </c>
      <c r="C419" s="110"/>
      <c r="D419" s="110"/>
      <c r="E419" s="17"/>
      <c r="F419" s="17"/>
      <c r="G419" s="17"/>
      <c r="H419" s="19"/>
      <c r="I419" s="19"/>
      <c r="J419" s="19"/>
      <c r="K419" s="17"/>
      <c r="L419" s="17"/>
      <c r="M419" s="17"/>
      <c r="N419" s="19"/>
      <c r="O419" s="19"/>
      <c r="P419" s="19"/>
    </row>
    <row r="420" spans="2:16" ht="14.1" customHeight="1" x14ac:dyDescent="0.3">
      <c r="B420" s="110">
        <f t="shared" si="24"/>
        <v>0</v>
      </c>
      <c r="C420" s="110"/>
      <c r="D420" s="110"/>
      <c r="E420" s="17"/>
      <c r="F420" s="17"/>
      <c r="G420" s="17"/>
      <c r="H420" s="19"/>
      <c r="I420" s="19"/>
      <c r="J420" s="19"/>
      <c r="K420" s="17"/>
      <c r="L420" s="17"/>
      <c r="M420" s="17"/>
      <c r="N420" s="19"/>
      <c r="O420" s="19"/>
      <c r="P420" s="19"/>
    </row>
    <row r="421" spans="2:16" ht="14.1" customHeight="1" x14ac:dyDescent="0.3">
      <c r="B421" s="110">
        <f t="shared" si="24"/>
        <v>0</v>
      </c>
      <c r="C421" s="110"/>
      <c r="D421" s="110"/>
      <c r="E421" s="17"/>
      <c r="F421" s="17"/>
      <c r="G421" s="17"/>
      <c r="H421" s="19"/>
      <c r="I421" s="19"/>
      <c r="J421" s="19"/>
      <c r="K421" s="17"/>
      <c r="L421" s="17"/>
      <c r="M421" s="17"/>
      <c r="N421" s="19"/>
      <c r="O421" s="19"/>
      <c r="P421" s="19"/>
    </row>
    <row r="422" spans="2:16" ht="14.1" customHeight="1" x14ac:dyDescent="0.3">
      <c r="B422" s="110">
        <f t="shared" si="24"/>
        <v>0</v>
      </c>
      <c r="C422" s="110"/>
      <c r="D422" s="110"/>
      <c r="E422" s="17"/>
      <c r="F422" s="17"/>
      <c r="G422" s="17"/>
      <c r="H422" s="19"/>
      <c r="I422" s="19"/>
      <c r="J422" s="19"/>
      <c r="K422" s="17"/>
      <c r="L422" s="17"/>
      <c r="M422" s="17"/>
      <c r="N422" s="19"/>
      <c r="O422" s="19"/>
      <c r="P422" s="19"/>
    </row>
    <row r="423" spans="2:16" ht="14.1" customHeight="1" x14ac:dyDescent="0.3">
      <c r="B423" s="110">
        <f t="shared" si="24"/>
        <v>0</v>
      </c>
      <c r="C423" s="110"/>
      <c r="D423" s="110"/>
      <c r="E423" s="17"/>
      <c r="F423" s="17"/>
      <c r="G423" s="17"/>
      <c r="H423" s="19"/>
      <c r="I423" s="19"/>
      <c r="J423" s="19"/>
      <c r="K423" s="17"/>
      <c r="L423" s="17"/>
      <c r="M423" s="17"/>
      <c r="N423" s="19"/>
      <c r="O423" s="19"/>
      <c r="P423" s="19"/>
    </row>
    <row r="424" spans="2:16" ht="14.1" customHeight="1" x14ac:dyDescent="0.3">
      <c r="B424" s="110">
        <f t="shared" si="24"/>
        <v>0</v>
      </c>
      <c r="C424" s="110"/>
      <c r="D424" s="110"/>
      <c r="E424" s="17"/>
      <c r="F424" s="17"/>
      <c r="G424" s="17"/>
      <c r="H424" s="19"/>
      <c r="I424" s="19"/>
      <c r="J424" s="19"/>
      <c r="K424" s="17"/>
      <c r="L424" s="17"/>
      <c r="M424" s="17"/>
      <c r="N424" s="19"/>
      <c r="O424" s="19"/>
      <c r="P424" s="19"/>
    </row>
    <row r="425" spans="2:16" ht="14.1" customHeight="1" x14ac:dyDescent="0.3">
      <c r="B425" s="110">
        <f t="shared" si="24"/>
        <v>0</v>
      </c>
      <c r="C425" s="110"/>
      <c r="D425" s="110"/>
      <c r="E425" s="17"/>
      <c r="F425" s="17"/>
      <c r="G425" s="17"/>
      <c r="H425" s="19"/>
      <c r="I425" s="19"/>
      <c r="J425" s="19"/>
      <c r="K425" s="17"/>
      <c r="L425" s="17"/>
      <c r="M425" s="17"/>
      <c r="N425" s="19"/>
      <c r="O425" s="19"/>
      <c r="P425" s="19"/>
    </row>
    <row r="426" spans="2:16" ht="14.1" customHeight="1" x14ac:dyDescent="0.3">
      <c r="B426" s="110">
        <f t="shared" si="24"/>
        <v>0</v>
      </c>
      <c r="C426" s="110"/>
      <c r="D426" s="110"/>
      <c r="E426" s="17"/>
      <c r="F426" s="17"/>
      <c r="G426" s="17"/>
      <c r="H426" s="19"/>
      <c r="I426" s="19"/>
      <c r="J426" s="19"/>
      <c r="K426" s="17"/>
      <c r="L426" s="17"/>
      <c r="M426" s="17"/>
      <c r="N426" s="19"/>
      <c r="O426" s="19"/>
      <c r="P426" s="19"/>
    </row>
    <row r="427" spans="2:16" ht="14.1" customHeight="1" x14ac:dyDescent="0.3">
      <c r="B427" s="110">
        <f t="shared" si="24"/>
        <v>0</v>
      </c>
      <c r="C427" s="110"/>
      <c r="D427" s="110"/>
      <c r="E427" s="17"/>
      <c r="F427" s="17"/>
      <c r="G427" s="17"/>
      <c r="H427" s="19"/>
      <c r="I427" s="19"/>
      <c r="J427" s="19"/>
      <c r="K427" s="17"/>
      <c r="L427" s="17"/>
      <c r="M427" s="17"/>
      <c r="N427" s="19"/>
      <c r="O427" s="19"/>
      <c r="P427" s="19"/>
    </row>
    <row r="428" spans="2:16" ht="14.1" customHeight="1" x14ac:dyDescent="0.3">
      <c r="B428" s="110">
        <f t="shared" si="24"/>
        <v>0</v>
      </c>
      <c r="C428" s="110"/>
      <c r="D428" s="110"/>
      <c r="E428" s="17"/>
      <c r="F428" s="17"/>
      <c r="G428" s="17"/>
      <c r="H428" s="19"/>
      <c r="I428" s="19"/>
      <c r="J428" s="19"/>
      <c r="K428" s="17"/>
      <c r="L428" s="17"/>
      <c r="M428" s="17"/>
      <c r="N428" s="19"/>
      <c r="O428" s="19"/>
      <c r="P428" s="19"/>
    </row>
    <row r="429" spans="2:16" ht="14.1" customHeight="1" x14ac:dyDescent="0.3">
      <c r="B429" s="110">
        <f t="shared" si="24"/>
        <v>0</v>
      </c>
      <c r="C429" s="110"/>
      <c r="D429" s="110"/>
      <c r="E429" s="17"/>
      <c r="F429" s="17"/>
      <c r="G429" s="17"/>
      <c r="H429" s="19"/>
      <c r="I429" s="19"/>
      <c r="J429" s="19"/>
      <c r="K429" s="17"/>
      <c r="L429" s="17"/>
      <c r="M429" s="17"/>
      <c r="N429" s="19"/>
      <c r="O429" s="19"/>
      <c r="P429" s="19"/>
    </row>
    <row r="430" spans="2:16" ht="14.1" customHeight="1" x14ac:dyDescent="0.3">
      <c r="B430" s="110">
        <f t="shared" si="24"/>
        <v>0</v>
      </c>
      <c r="C430" s="110"/>
      <c r="D430" s="110"/>
      <c r="E430" s="17"/>
      <c r="F430" s="17"/>
      <c r="G430" s="17"/>
      <c r="H430" s="19"/>
      <c r="I430" s="19"/>
      <c r="J430" s="19"/>
      <c r="K430" s="17"/>
      <c r="L430" s="17"/>
      <c r="M430" s="17"/>
      <c r="N430" s="19"/>
      <c r="O430" s="19"/>
      <c r="P430" s="19"/>
    </row>
    <row r="431" spans="2:16" ht="14.1" customHeight="1" x14ac:dyDescent="0.3">
      <c r="B431" s="110">
        <f t="shared" si="24"/>
        <v>0</v>
      </c>
      <c r="C431" s="110"/>
      <c r="D431" s="110"/>
      <c r="E431" s="17"/>
      <c r="F431" s="17"/>
      <c r="G431" s="17"/>
      <c r="H431" s="19"/>
      <c r="I431" s="19"/>
      <c r="J431" s="19"/>
      <c r="K431" s="17"/>
      <c r="L431" s="17"/>
      <c r="M431" s="17"/>
      <c r="N431" s="19"/>
      <c r="O431" s="19"/>
      <c r="P431" s="19"/>
    </row>
    <row r="432" spans="2:16" ht="14.1" customHeight="1" x14ac:dyDescent="0.3">
      <c r="B432" s="110">
        <f t="shared" si="24"/>
        <v>0</v>
      </c>
      <c r="C432" s="110"/>
      <c r="D432" s="110"/>
      <c r="E432" s="17"/>
      <c r="F432" s="17"/>
      <c r="G432" s="17"/>
      <c r="H432" s="19"/>
      <c r="I432" s="19"/>
      <c r="J432" s="19"/>
      <c r="K432" s="17"/>
      <c r="L432" s="17"/>
      <c r="M432" s="17"/>
      <c r="N432" s="19"/>
      <c r="O432" s="19"/>
      <c r="P432" s="19"/>
    </row>
    <row r="433" spans="2:16" ht="14.1" customHeight="1" x14ac:dyDescent="0.3">
      <c r="B433" s="110">
        <f t="shared" si="24"/>
        <v>0</v>
      </c>
      <c r="C433" s="110"/>
      <c r="D433" s="110"/>
      <c r="E433" s="17"/>
      <c r="F433" s="17"/>
      <c r="G433" s="17"/>
      <c r="H433" s="19"/>
      <c r="I433" s="19"/>
      <c r="J433" s="19"/>
      <c r="K433" s="17"/>
      <c r="L433" s="17"/>
      <c r="M433" s="17"/>
      <c r="N433" s="19"/>
      <c r="O433" s="19"/>
      <c r="P433" s="19"/>
    </row>
    <row r="434" spans="2:16" ht="14.1" customHeight="1" x14ac:dyDescent="0.3">
      <c r="B434" s="110">
        <f t="shared" ref="B434:B436" si="25">B143</f>
        <v>0</v>
      </c>
      <c r="C434" s="110"/>
      <c r="D434" s="110"/>
      <c r="E434" s="17"/>
      <c r="F434" s="17"/>
      <c r="G434" s="17"/>
      <c r="H434" s="19"/>
      <c r="I434" s="19"/>
      <c r="J434" s="19"/>
      <c r="K434" s="17"/>
      <c r="L434" s="17"/>
      <c r="M434" s="17"/>
      <c r="N434" s="19"/>
      <c r="O434" s="19"/>
      <c r="P434" s="19"/>
    </row>
    <row r="435" spans="2:16" ht="14.1" customHeight="1" x14ac:dyDescent="0.3">
      <c r="B435" s="110">
        <f t="shared" si="25"/>
        <v>0</v>
      </c>
      <c r="C435" s="110"/>
      <c r="D435" s="110"/>
      <c r="E435" s="17"/>
      <c r="F435" s="17"/>
      <c r="G435" s="17"/>
      <c r="H435" s="19"/>
      <c r="I435" s="19"/>
      <c r="J435" s="19"/>
      <c r="K435" s="17"/>
      <c r="L435" s="17"/>
      <c r="M435" s="17"/>
      <c r="N435" s="19"/>
      <c r="O435" s="19"/>
      <c r="P435" s="19"/>
    </row>
    <row r="436" spans="2:16" ht="14.1" customHeight="1" x14ac:dyDescent="0.3">
      <c r="B436" s="110">
        <f t="shared" si="25"/>
        <v>0</v>
      </c>
      <c r="C436" s="110"/>
      <c r="D436" s="110"/>
      <c r="E436" s="17"/>
      <c r="F436" s="17"/>
      <c r="G436" s="17"/>
      <c r="H436" s="19"/>
      <c r="I436" s="19"/>
      <c r="J436" s="19"/>
      <c r="K436" s="17"/>
      <c r="L436" s="17"/>
      <c r="M436" s="17"/>
      <c r="N436" s="19"/>
      <c r="O436" s="19"/>
      <c r="P436" s="19"/>
    </row>
    <row r="437" spans="2:16" ht="14.1" customHeight="1" x14ac:dyDescent="0.3">
      <c r="B437" s="110">
        <f>B65</f>
        <v>0</v>
      </c>
      <c r="C437" s="110"/>
      <c r="D437" s="110"/>
      <c r="E437" s="17"/>
      <c r="F437" s="17"/>
      <c r="G437" s="17"/>
      <c r="H437" s="19"/>
      <c r="I437" s="19"/>
      <c r="J437" s="19"/>
      <c r="K437" s="17"/>
      <c r="L437" s="17"/>
      <c r="M437" s="17"/>
      <c r="N437" s="19"/>
      <c r="O437" s="19"/>
      <c r="P437" s="19"/>
    </row>
    <row r="438" spans="2:16" ht="14.1" customHeight="1" x14ac:dyDescent="0.3">
      <c r="B438" s="110">
        <f>B66</f>
        <v>0</v>
      </c>
      <c r="C438" s="110"/>
      <c r="D438" s="110"/>
      <c r="E438" s="17"/>
      <c r="F438" s="17"/>
      <c r="G438" s="17"/>
      <c r="H438" s="19"/>
      <c r="I438" s="19"/>
      <c r="J438" s="19"/>
      <c r="K438" s="17"/>
      <c r="L438" s="17"/>
      <c r="M438" s="17"/>
      <c r="N438" s="19"/>
      <c r="O438" s="19"/>
      <c r="P438" s="19"/>
    </row>
    <row r="439" spans="2:16" ht="14.1" customHeight="1" x14ac:dyDescent="0.3">
      <c r="B439" s="110">
        <f>B67</f>
        <v>0</v>
      </c>
      <c r="C439" s="110"/>
      <c r="D439" s="110"/>
      <c r="E439" s="17"/>
      <c r="F439" s="17"/>
      <c r="G439" s="17"/>
      <c r="H439" s="19"/>
      <c r="I439" s="19"/>
      <c r="J439" s="19"/>
      <c r="K439" s="17"/>
      <c r="L439" s="17"/>
      <c r="M439" s="17"/>
      <c r="N439" s="19"/>
      <c r="O439" s="19"/>
      <c r="P439" s="19"/>
    </row>
    <row r="440" spans="2:16" ht="14.1" customHeight="1" x14ac:dyDescent="0.3">
      <c r="B440" s="110">
        <f>B68</f>
        <v>0</v>
      </c>
      <c r="C440" s="110"/>
      <c r="D440" s="110"/>
      <c r="E440" s="17"/>
      <c r="F440" s="17"/>
      <c r="G440" s="17"/>
      <c r="H440" s="19"/>
      <c r="I440" s="19"/>
      <c r="J440" s="19"/>
      <c r="K440" s="17"/>
      <c r="L440" s="17"/>
      <c r="M440" s="17"/>
      <c r="N440" s="19"/>
      <c r="O440" s="19"/>
      <c r="P440" s="19"/>
    </row>
    <row r="441" spans="2:16" ht="14.1" customHeight="1" x14ac:dyDescent="0.3">
      <c r="B441" s="110">
        <f>B69</f>
        <v>0</v>
      </c>
      <c r="C441" s="110"/>
      <c r="D441" s="110"/>
      <c r="E441" s="17"/>
      <c r="F441" s="17"/>
      <c r="G441" s="17"/>
      <c r="H441" s="19"/>
      <c r="I441" s="19"/>
      <c r="J441" s="19"/>
      <c r="K441" s="17"/>
      <c r="L441" s="17"/>
      <c r="M441" s="17"/>
      <c r="N441" s="19"/>
      <c r="O441" s="19"/>
      <c r="P441" s="19"/>
    </row>
    <row r="442" spans="2:16" ht="14.1" customHeight="1" x14ac:dyDescent="0.3">
      <c r="B442" s="110">
        <f t="shared" ref="B442:B444" si="26">B151</f>
        <v>0</v>
      </c>
      <c r="C442" s="110"/>
      <c r="D442" s="110"/>
      <c r="E442" s="17"/>
      <c r="F442" s="17"/>
      <c r="G442" s="17"/>
      <c r="H442" s="19"/>
      <c r="I442" s="19"/>
      <c r="J442" s="19"/>
      <c r="K442" s="17"/>
      <c r="L442" s="17"/>
      <c r="M442" s="17"/>
      <c r="N442" s="19"/>
      <c r="O442" s="19"/>
      <c r="P442" s="19"/>
    </row>
    <row r="443" spans="2:16" ht="14.1" customHeight="1" x14ac:dyDescent="0.3">
      <c r="B443" s="110">
        <f t="shared" si="26"/>
        <v>0</v>
      </c>
      <c r="C443" s="110"/>
      <c r="D443" s="110"/>
      <c r="E443" s="17"/>
      <c r="F443" s="17"/>
      <c r="G443" s="17"/>
      <c r="H443" s="19"/>
      <c r="I443" s="19"/>
      <c r="J443" s="19"/>
      <c r="K443" s="17"/>
      <c r="L443" s="17"/>
      <c r="M443" s="17"/>
      <c r="N443" s="19"/>
      <c r="O443" s="19"/>
      <c r="P443" s="19"/>
    </row>
    <row r="444" spans="2:16" ht="14.1" customHeight="1" x14ac:dyDescent="0.3">
      <c r="B444" s="110">
        <f t="shared" si="26"/>
        <v>0</v>
      </c>
      <c r="C444" s="110"/>
      <c r="D444" s="110"/>
      <c r="E444" s="17"/>
      <c r="F444" s="17"/>
      <c r="G444" s="17"/>
      <c r="H444" s="19"/>
      <c r="I444" s="19"/>
      <c r="J444" s="19"/>
      <c r="K444" s="17"/>
      <c r="L444" s="17"/>
      <c r="M444" s="17"/>
      <c r="N444" s="19"/>
      <c r="O444" s="19"/>
      <c r="P444" s="19"/>
    </row>
    <row r="445" spans="2:16" ht="14.1" customHeight="1" x14ac:dyDescent="0.3">
      <c r="B445" s="110">
        <f>B73</f>
        <v>0</v>
      </c>
      <c r="C445" s="110"/>
      <c r="D445" s="110"/>
      <c r="E445" s="17"/>
      <c r="F445" s="17"/>
      <c r="G445" s="17"/>
      <c r="H445" s="19"/>
      <c r="I445" s="19"/>
      <c r="J445" s="19"/>
      <c r="K445" s="17"/>
      <c r="L445" s="17"/>
      <c r="M445" s="17"/>
      <c r="N445" s="19"/>
      <c r="O445" s="19"/>
      <c r="P445" s="19"/>
    </row>
    <row r="446" spans="2:16" ht="14.1" customHeight="1" x14ac:dyDescent="0.3">
      <c r="B446" s="110">
        <f>B74</f>
        <v>0</v>
      </c>
      <c r="C446" s="110"/>
      <c r="D446" s="110"/>
      <c r="E446" s="17"/>
      <c r="F446" s="17"/>
      <c r="G446" s="17"/>
      <c r="H446" s="19"/>
      <c r="I446" s="19"/>
      <c r="J446" s="19"/>
      <c r="K446" s="17"/>
      <c r="L446" s="17"/>
      <c r="M446" s="17"/>
      <c r="N446" s="19"/>
      <c r="O446" s="19"/>
      <c r="P446" s="19"/>
    </row>
    <row r="447" spans="2:16" ht="14.1" customHeight="1" x14ac:dyDescent="0.3">
      <c r="B447" s="110">
        <f t="shared" ref="B447:B450" si="27">B156</f>
        <v>0</v>
      </c>
      <c r="C447" s="110"/>
      <c r="D447" s="110"/>
      <c r="E447" s="17"/>
      <c r="F447" s="17"/>
      <c r="G447" s="17"/>
      <c r="H447" s="19"/>
      <c r="I447" s="19"/>
      <c r="J447" s="19"/>
      <c r="K447" s="17"/>
      <c r="L447" s="17"/>
      <c r="M447" s="17"/>
      <c r="N447" s="19"/>
      <c r="O447" s="19"/>
      <c r="P447" s="19"/>
    </row>
    <row r="448" spans="2:16" ht="14.1" customHeight="1" x14ac:dyDescent="0.3">
      <c r="B448" s="110">
        <f t="shared" si="27"/>
        <v>0</v>
      </c>
      <c r="C448" s="110"/>
      <c r="D448" s="110"/>
      <c r="E448" s="17"/>
      <c r="F448" s="17"/>
      <c r="G448" s="17"/>
      <c r="H448" s="19"/>
      <c r="I448" s="19"/>
      <c r="J448" s="19"/>
      <c r="K448" s="17"/>
      <c r="L448" s="17"/>
      <c r="M448" s="17"/>
      <c r="N448" s="19"/>
      <c r="O448" s="19"/>
      <c r="P448" s="19"/>
    </row>
    <row r="449" spans="2:18" ht="14.1" customHeight="1" x14ac:dyDescent="0.3">
      <c r="B449" s="110">
        <f t="shared" si="27"/>
        <v>0</v>
      </c>
      <c r="C449" s="110"/>
      <c r="D449" s="110"/>
      <c r="E449" s="17"/>
      <c r="F449" s="17"/>
      <c r="G449" s="17"/>
      <c r="H449" s="19"/>
      <c r="I449" s="19"/>
      <c r="J449" s="19"/>
      <c r="K449" s="17"/>
      <c r="L449" s="17"/>
      <c r="M449" s="17"/>
      <c r="N449" s="19"/>
      <c r="O449" s="19"/>
      <c r="P449" s="19"/>
    </row>
    <row r="450" spans="2:18" ht="14.1" customHeight="1" x14ac:dyDescent="0.3">
      <c r="B450" s="110">
        <f t="shared" si="27"/>
        <v>0</v>
      </c>
      <c r="C450" s="110"/>
      <c r="D450" s="110"/>
      <c r="E450" s="17"/>
      <c r="F450" s="17"/>
      <c r="G450" s="17"/>
      <c r="H450" s="19"/>
      <c r="I450" s="19"/>
      <c r="J450" s="19"/>
      <c r="K450" s="17"/>
      <c r="L450" s="17"/>
      <c r="M450" s="17"/>
      <c r="N450" s="19"/>
      <c r="O450" s="19"/>
      <c r="P450" s="19"/>
    </row>
    <row r="451" spans="2:18" ht="14.1" customHeight="1" x14ac:dyDescent="0.3">
      <c r="B451" s="110">
        <f>B108</f>
        <v>0</v>
      </c>
      <c r="C451" s="110"/>
      <c r="D451" s="110"/>
      <c r="E451" s="17"/>
      <c r="F451" s="17"/>
      <c r="G451" s="17"/>
      <c r="H451" s="19"/>
      <c r="I451" s="19"/>
      <c r="J451" s="19"/>
      <c r="K451" s="17"/>
      <c r="L451" s="17"/>
      <c r="M451" s="17"/>
      <c r="N451" s="19"/>
      <c r="O451" s="19"/>
      <c r="P451" s="19"/>
    </row>
    <row r="452" spans="2:18" ht="14.1" customHeight="1" x14ac:dyDescent="0.3">
      <c r="B452" s="16"/>
      <c r="C452" s="21"/>
      <c r="D452" s="8" t="s">
        <v>29</v>
      </c>
      <c r="E452" s="9">
        <f>SUM(E380:E451)</f>
        <v>0</v>
      </c>
      <c r="F452" s="9">
        <f>SUM(F380:F451)</f>
        <v>0</v>
      </c>
      <c r="G452" s="9">
        <f>SUM(G380:G451)</f>
        <v>0</v>
      </c>
      <c r="H452" s="15"/>
      <c r="I452" s="26">
        <f>SUM(I380:I451)</f>
        <v>0</v>
      </c>
      <c r="J452" s="26">
        <f>SUM(J380:J451)</f>
        <v>0</v>
      </c>
      <c r="K452" s="9">
        <f>SUM(K380:K451)</f>
        <v>0</v>
      </c>
      <c r="L452" s="9">
        <f>SUM(L380:L451)</f>
        <v>0</v>
      </c>
      <c r="M452" s="9">
        <f>SUM(M380:M451)</f>
        <v>0</v>
      </c>
      <c r="N452" s="15"/>
      <c r="O452" s="26">
        <f>SUM(O380:O451)</f>
        <v>0</v>
      </c>
      <c r="P452" s="26">
        <f>SUM(P380:P451)</f>
        <v>0</v>
      </c>
    </row>
    <row r="453" spans="2:18" ht="14.1" customHeight="1" x14ac:dyDescent="0.3">
      <c r="B453" s="8"/>
      <c r="C453" s="15"/>
      <c r="D453" s="29"/>
      <c r="E453" s="21"/>
      <c r="F453" s="21"/>
      <c r="G453" s="21"/>
      <c r="K453" s="21"/>
      <c r="L453" s="21"/>
      <c r="M453" s="21"/>
    </row>
    <row r="454" spans="2:18" ht="14.1" customHeight="1" x14ac:dyDescent="0.3">
      <c r="B454" s="29"/>
      <c r="C454" s="21"/>
      <c r="D454" s="29"/>
      <c r="E454" s="21"/>
      <c r="F454" s="21"/>
      <c r="G454" s="21"/>
      <c r="K454" s="21"/>
      <c r="L454" s="21"/>
      <c r="M454" s="21"/>
    </row>
    <row r="455" spans="2:18" ht="14.1" customHeight="1" x14ac:dyDescent="0.3">
      <c r="B455" s="15"/>
      <c r="C455" s="15"/>
      <c r="D455" s="15"/>
      <c r="E455" s="116" t="s">
        <v>47</v>
      </c>
      <c r="F455" s="116"/>
      <c r="G455" s="116"/>
      <c r="H455" s="116"/>
      <c r="I455" s="116"/>
      <c r="J455" s="116"/>
      <c r="K455" s="116"/>
      <c r="L455" s="116" t="s">
        <v>48</v>
      </c>
      <c r="M455" s="116"/>
      <c r="N455" s="116"/>
      <c r="O455" s="116"/>
      <c r="P455" s="116"/>
      <c r="Q455" s="116"/>
      <c r="R455" s="116"/>
    </row>
    <row r="456" spans="2:18" ht="14.1" customHeight="1" x14ac:dyDescent="0.3">
      <c r="B456" s="116" t="s">
        <v>5</v>
      </c>
      <c r="C456" s="116"/>
      <c r="D456" s="116"/>
      <c r="E456" s="116" t="s">
        <v>34</v>
      </c>
      <c r="F456" s="116"/>
      <c r="G456" s="30" t="s">
        <v>35</v>
      </c>
      <c r="H456" s="23" t="s">
        <v>36</v>
      </c>
      <c r="I456" s="116" t="s">
        <v>24</v>
      </c>
      <c r="J456" s="116"/>
      <c r="K456" s="30" t="s">
        <v>49</v>
      </c>
      <c r="L456" s="116" t="s">
        <v>34</v>
      </c>
      <c r="M456" s="116"/>
      <c r="N456" s="30" t="s">
        <v>35</v>
      </c>
      <c r="O456" s="23" t="s">
        <v>36</v>
      </c>
      <c r="P456" s="116" t="s">
        <v>24</v>
      </c>
      <c r="Q456" s="116"/>
      <c r="R456" s="30" t="s">
        <v>50</v>
      </c>
    </row>
    <row r="457" spans="2:18" ht="14.1" customHeight="1" x14ac:dyDescent="0.3">
      <c r="B457" s="116"/>
      <c r="C457" s="116"/>
      <c r="D457" s="116"/>
      <c r="E457" s="17" t="s">
        <v>11</v>
      </c>
      <c r="F457" s="17" t="s">
        <v>28</v>
      </c>
      <c r="G457" s="17" t="s">
        <v>28</v>
      </c>
      <c r="H457" s="17" t="s">
        <v>28</v>
      </c>
      <c r="I457" s="17" t="s">
        <v>11</v>
      </c>
      <c r="J457" s="17" t="s">
        <v>13</v>
      </c>
      <c r="K457" s="17" t="s">
        <v>28</v>
      </c>
      <c r="L457" s="17" t="s">
        <v>11</v>
      </c>
      <c r="M457" s="17" t="s">
        <v>28</v>
      </c>
      <c r="N457" s="17" t="s">
        <v>28</v>
      </c>
      <c r="O457" s="17" t="s">
        <v>28</v>
      </c>
      <c r="P457" s="17" t="s">
        <v>11</v>
      </c>
      <c r="Q457" s="17" t="s">
        <v>13</v>
      </c>
      <c r="R457" s="17" t="s">
        <v>28</v>
      </c>
    </row>
    <row r="458" spans="2:18" ht="14.1" customHeight="1" x14ac:dyDescent="0.3">
      <c r="B458" s="110">
        <f t="shared" ref="B458:B473" si="28">B8</f>
        <v>0</v>
      </c>
      <c r="C458" s="110"/>
      <c r="D458" s="110"/>
      <c r="E458" s="17"/>
      <c r="F458" s="17"/>
      <c r="G458" s="19"/>
      <c r="H458" s="17"/>
      <c r="I458" s="19"/>
      <c r="J458" s="19"/>
      <c r="K458" s="19"/>
      <c r="L458" s="17"/>
      <c r="M458" s="17"/>
      <c r="N458" s="19"/>
      <c r="O458" s="17"/>
      <c r="P458" s="19"/>
      <c r="Q458" s="19"/>
      <c r="R458" s="19"/>
    </row>
    <row r="459" spans="2:18" ht="14.1" customHeight="1" x14ac:dyDescent="0.3">
      <c r="B459" s="110">
        <f t="shared" si="28"/>
        <v>0</v>
      </c>
      <c r="C459" s="110"/>
      <c r="D459" s="110"/>
      <c r="E459" s="17"/>
      <c r="F459" s="17"/>
      <c r="G459" s="19"/>
      <c r="H459" s="17"/>
      <c r="I459" s="19"/>
      <c r="J459" s="19"/>
      <c r="K459" s="19"/>
      <c r="L459" s="17"/>
      <c r="M459" s="17"/>
      <c r="N459" s="19"/>
      <c r="O459" s="17"/>
      <c r="P459" s="19"/>
      <c r="Q459" s="19"/>
      <c r="R459" s="19"/>
    </row>
    <row r="460" spans="2:18" ht="14.1" customHeight="1" x14ac:dyDescent="0.3">
      <c r="B460" s="110">
        <f t="shared" si="28"/>
        <v>0</v>
      </c>
      <c r="C460" s="110"/>
      <c r="D460" s="110"/>
      <c r="E460" s="17"/>
      <c r="F460" s="17"/>
      <c r="G460" s="19"/>
      <c r="H460" s="17"/>
      <c r="I460" s="19"/>
      <c r="J460" s="19"/>
      <c r="K460" s="19"/>
      <c r="L460" s="17"/>
      <c r="M460" s="17"/>
      <c r="N460" s="19"/>
      <c r="O460" s="17"/>
      <c r="P460" s="19"/>
      <c r="Q460" s="19"/>
      <c r="R460" s="19"/>
    </row>
    <row r="461" spans="2:18" ht="14.1" customHeight="1" x14ac:dyDescent="0.3">
      <c r="B461" s="110">
        <f t="shared" si="28"/>
        <v>0</v>
      </c>
      <c r="C461" s="110"/>
      <c r="D461" s="110"/>
      <c r="E461" s="17"/>
      <c r="F461" s="17"/>
      <c r="G461" s="19"/>
      <c r="H461" s="17"/>
      <c r="I461" s="19"/>
      <c r="J461" s="19"/>
      <c r="K461" s="19"/>
      <c r="L461" s="17"/>
      <c r="M461" s="17"/>
      <c r="N461" s="19"/>
      <c r="O461" s="17"/>
      <c r="P461" s="19"/>
      <c r="Q461" s="19"/>
      <c r="R461" s="19"/>
    </row>
    <row r="462" spans="2:18" ht="14.1" customHeight="1" x14ac:dyDescent="0.3">
      <c r="B462" s="110">
        <f t="shared" si="28"/>
        <v>0</v>
      </c>
      <c r="C462" s="110"/>
      <c r="D462" s="110"/>
      <c r="E462" s="17"/>
      <c r="F462" s="17"/>
      <c r="G462" s="19"/>
      <c r="H462" s="17"/>
      <c r="I462" s="19"/>
      <c r="J462" s="19"/>
      <c r="K462" s="19"/>
      <c r="L462" s="17"/>
      <c r="M462" s="17"/>
      <c r="N462" s="19"/>
      <c r="O462" s="17"/>
      <c r="P462" s="19"/>
      <c r="Q462" s="19"/>
      <c r="R462" s="19"/>
    </row>
    <row r="463" spans="2:18" ht="14.1" customHeight="1" x14ac:dyDescent="0.3">
      <c r="B463" s="110">
        <f t="shared" si="28"/>
        <v>0</v>
      </c>
      <c r="C463" s="110"/>
      <c r="D463" s="110"/>
      <c r="E463" s="17"/>
      <c r="F463" s="17"/>
      <c r="G463" s="19"/>
      <c r="H463" s="17"/>
      <c r="I463" s="19"/>
      <c r="J463" s="19"/>
      <c r="K463" s="19"/>
      <c r="L463" s="17"/>
      <c r="M463" s="17"/>
      <c r="N463" s="19"/>
      <c r="O463" s="17"/>
      <c r="P463" s="19"/>
      <c r="Q463" s="19"/>
      <c r="R463" s="19"/>
    </row>
    <row r="464" spans="2:18" ht="14.1" customHeight="1" x14ac:dyDescent="0.3">
      <c r="B464" s="110">
        <f t="shared" si="28"/>
        <v>0</v>
      </c>
      <c r="C464" s="110"/>
      <c r="D464" s="110"/>
      <c r="E464" s="17"/>
      <c r="F464" s="17"/>
      <c r="G464" s="19"/>
      <c r="H464" s="17"/>
      <c r="I464" s="19"/>
      <c r="J464" s="19"/>
      <c r="K464" s="19"/>
      <c r="L464" s="17"/>
      <c r="M464" s="17"/>
      <c r="N464" s="19"/>
      <c r="O464" s="17"/>
      <c r="P464" s="19"/>
      <c r="Q464" s="19"/>
      <c r="R464" s="19"/>
    </row>
    <row r="465" spans="2:18" ht="14.1" customHeight="1" x14ac:dyDescent="0.3">
      <c r="B465" s="110">
        <f t="shared" si="28"/>
        <v>0</v>
      </c>
      <c r="C465" s="110"/>
      <c r="D465" s="110"/>
      <c r="E465" s="17"/>
      <c r="F465" s="17"/>
      <c r="G465" s="19"/>
      <c r="H465" s="17"/>
      <c r="I465" s="19"/>
      <c r="J465" s="19"/>
      <c r="K465" s="19"/>
      <c r="L465" s="17"/>
      <c r="M465" s="17"/>
      <c r="N465" s="19"/>
      <c r="O465" s="17"/>
      <c r="P465" s="19"/>
      <c r="Q465" s="19"/>
      <c r="R465" s="19"/>
    </row>
    <row r="466" spans="2:18" ht="14.1" customHeight="1" x14ac:dyDescent="0.3">
      <c r="B466" s="110">
        <f t="shared" si="28"/>
        <v>0</v>
      </c>
      <c r="C466" s="110"/>
      <c r="D466" s="110"/>
      <c r="E466" s="17"/>
      <c r="F466" s="17"/>
      <c r="G466" s="19"/>
      <c r="H466" s="17"/>
      <c r="I466" s="19"/>
      <c r="J466" s="19"/>
      <c r="K466" s="19"/>
      <c r="L466" s="17"/>
      <c r="M466" s="17"/>
      <c r="N466" s="19"/>
      <c r="O466" s="17"/>
      <c r="P466" s="19"/>
      <c r="Q466" s="19"/>
      <c r="R466" s="19"/>
    </row>
    <row r="467" spans="2:18" ht="14.1" customHeight="1" x14ac:dyDescent="0.3">
      <c r="B467" s="110">
        <f t="shared" si="28"/>
        <v>0</v>
      </c>
      <c r="C467" s="110"/>
      <c r="D467" s="110"/>
      <c r="E467" s="17"/>
      <c r="F467" s="17"/>
      <c r="G467" s="19"/>
      <c r="H467" s="17"/>
      <c r="I467" s="19"/>
      <c r="J467" s="19"/>
      <c r="K467" s="19"/>
      <c r="L467" s="17"/>
      <c r="M467" s="17"/>
      <c r="N467" s="19"/>
      <c r="O467" s="17"/>
      <c r="P467" s="19"/>
      <c r="Q467" s="19"/>
      <c r="R467" s="19"/>
    </row>
    <row r="468" spans="2:18" ht="14.1" customHeight="1" x14ac:dyDescent="0.3">
      <c r="B468" s="110">
        <f t="shared" si="28"/>
        <v>0</v>
      </c>
      <c r="C468" s="110"/>
      <c r="D468" s="110"/>
      <c r="E468" s="17"/>
      <c r="F468" s="17"/>
      <c r="G468" s="19"/>
      <c r="H468" s="17"/>
      <c r="I468" s="19"/>
      <c r="J468" s="19"/>
      <c r="K468" s="19"/>
      <c r="L468" s="17"/>
      <c r="M468" s="17"/>
      <c r="N468" s="19"/>
      <c r="O468" s="17"/>
      <c r="P468" s="19"/>
      <c r="Q468" s="19"/>
      <c r="R468" s="19"/>
    </row>
    <row r="469" spans="2:18" ht="14.1" customHeight="1" x14ac:dyDescent="0.3">
      <c r="B469" s="110">
        <f t="shared" si="28"/>
        <v>0</v>
      </c>
      <c r="C469" s="110"/>
      <c r="D469" s="110"/>
      <c r="E469" s="17"/>
      <c r="F469" s="17"/>
      <c r="G469" s="19"/>
      <c r="H469" s="17"/>
      <c r="I469" s="19"/>
      <c r="J469" s="19"/>
      <c r="K469" s="19"/>
      <c r="L469" s="17"/>
      <c r="M469" s="17"/>
      <c r="N469" s="19"/>
      <c r="O469" s="17"/>
      <c r="P469" s="19"/>
      <c r="Q469" s="19"/>
      <c r="R469" s="19"/>
    </row>
    <row r="470" spans="2:18" ht="14.1" customHeight="1" x14ac:dyDescent="0.3">
      <c r="B470" s="110">
        <f t="shared" si="28"/>
        <v>0</v>
      </c>
      <c r="C470" s="110"/>
      <c r="D470" s="110"/>
      <c r="E470" s="17"/>
      <c r="F470" s="17"/>
      <c r="G470" s="19"/>
      <c r="H470" s="17"/>
      <c r="I470" s="19"/>
      <c r="J470" s="19"/>
      <c r="K470" s="19"/>
      <c r="L470" s="17"/>
      <c r="M470" s="17"/>
      <c r="N470" s="19"/>
      <c r="O470" s="17"/>
      <c r="P470" s="19"/>
      <c r="Q470" s="19"/>
      <c r="R470" s="19"/>
    </row>
    <row r="471" spans="2:18" ht="14.1" customHeight="1" x14ac:dyDescent="0.3">
      <c r="B471" s="110">
        <f t="shared" si="28"/>
        <v>0</v>
      </c>
      <c r="C471" s="110"/>
      <c r="D471" s="110"/>
      <c r="E471" s="17"/>
      <c r="F471" s="17"/>
      <c r="G471" s="19"/>
      <c r="H471" s="17"/>
      <c r="I471" s="19"/>
      <c r="J471" s="19"/>
      <c r="K471" s="19"/>
      <c r="L471" s="17"/>
      <c r="M471" s="17"/>
      <c r="N471" s="19"/>
      <c r="O471" s="17"/>
      <c r="P471" s="19"/>
      <c r="Q471" s="19"/>
      <c r="R471" s="19"/>
    </row>
    <row r="472" spans="2:18" ht="14.1" customHeight="1" x14ac:dyDescent="0.3">
      <c r="B472" s="110">
        <f t="shared" si="28"/>
        <v>0</v>
      </c>
      <c r="C472" s="110"/>
      <c r="D472" s="110"/>
      <c r="E472" s="17"/>
      <c r="F472" s="17"/>
      <c r="G472" s="19"/>
      <c r="H472" s="17"/>
      <c r="I472" s="19"/>
      <c r="J472" s="19"/>
      <c r="K472" s="19"/>
      <c r="L472" s="17"/>
      <c r="M472" s="17"/>
      <c r="N472" s="19"/>
      <c r="O472" s="17"/>
      <c r="P472" s="19"/>
      <c r="Q472" s="19"/>
      <c r="R472" s="19"/>
    </row>
    <row r="473" spans="2:18" ht="14.1" customHeight="1" x14ac:dyDescent="0.3">
      <c r="B473" s="110">
        <f t="shared" si="28"/>
        <v>0</v>
      </c>
      <c r="C473" s="110"/>
      <c r="D473" s="110"/>
      <c r="E473" s="17"/>
      <c r="F473" s="17"/>
      <c r="G473" s="19"/>
      <c r="H473" s="17"/>
      <c r="I473" s="19"/>
      <c r="J473" s="19"/>
      <c r="K473" s="19"/>
      <c r="L473" s="17"/>
      <c r="M473" s="17"/>
      <c r="N473" s="19"/>
      <c r="O473" s="17"/>
      <c r="P473" s="19"/>
      <c r="Q473" s="19"/>
      <c r="R473" s="19"/>
    </row>
    <row r="474" spans="2:18" ht="14.1" customHeight="1" x14ac:dyDescent="0.3">
      <c r="B474" s="110">
        <f t="shared" ref="B474:B476" si="29">B83</f>
        <v>0</v>
      </c>
      <c r="C474" s="110"/>
      <c r="D474" s="110"/>
      <c r="E474" s="17"/>
      <c r="F474" s="17"/>
      <c r="G474" s="19"/>
      <c r="H474" s="17"/>
      <c r="I474" s="19"/>
      <c r="J474" s="19"/>
      <c r="K474" s="19"/>
      <c r="L474" s="17"/>
      <c r="M474" s="17"/>
      <c r="N474" s="19"/>
      <c r="O474" s="17"/>
      <c r="P474" s="19"/>
      <c r="Q474" s="19"/>
      <c r="R474" s="19"/>
    </row>
    <row r="475" spans="2:18" ht="14.1" customHeight="1" x14ac:dyDescent="0.3">
      <c r="B475" s="110">
        <f t="shared" si="29"/>
        <v>0</v>
      </c>
      <c r="C475" s="110"/>
      <c r="D475" s="110"/>
      <c r="E475" s="17"/>
      <c r="F475" s="17"/>
      <c r="G475" s="19"/>
      <c r="H475" s="17"/>
      <c r="I475" s="19"/>
      <c r="J475" s="19"/>
      <c r="K475" s="19"/>
      <c r="L475" s="17"/>
      <c r="M475" s="17"/>
      <c r="N475" s="19"/>
      <c r="O475" s="17"/>
      <c r="P475" s="19"/>
      <c r="Q475" s="19"/>
      <c r="R475" s="19"/>
    </row>
    <row r="476" spans="2:18" ht="14.1" customHeight="1" x14ac:dyDescent="0.3">
      <c r="B476" s="110">
        <f t="shared" si="29"/>
        <v>0</v>
      </c>
      <c r="C476" s="110"/>
      <c r="D476" s="110"/>
      <c r="E476" s="17"/>
      <c r="F476" s="17"/>
      <c r="G476" s="19"/>
      <c r="H476" s="17"/>
      <c r="I476" s="19"/>
      <c r="J476" s="19"/>
      <c r="K476" s="19"/>
      <c r="L476" s="17"/>
      <c r="M476" s="17"/>
      <c r="N476" s="19"/>
      <c r="O476" s="17"/>
      <c r="P476" s="19"/>
      <c r="Q476" s="19"/>
      <c r="R476" s="19"/>
    </row>
    <row r="477" spans="2:18" ht="14.1" customHeight="1" x14ac:dyDescent="0.3">
      <c r="B477" s="110">
        <f t="shared" ref="B477:B492" si="30">B27</f>
        <v>0</v>
      </c>
      <c r="C477" s="110"/>
      <c r="D477" s="110"/>
      <c r="E477" s="17"/>
      <c r="F477" s="17"/>
      <c r="G477" s="19"/>
      <c r="H477" s="17"/>
      <c r="I477" s="19"/>
      <c r="J477" s="19"/>
      <c r="K477" s="19"/>
      <c r="L477" s="17"/>
      <c r="M477" s="17"/>
      <c r="N477" s="19"/>
      <c r="O477" s="17"/>
      <c r="P477" s="19"/>
      <c r="Q477" s="19"/>
      <c r="R477" s="19"/>
    </row>
    <row r="478" spans="2:18" ht="14.1" customHeight="1" x14ac:dyDescent="0.3">
      <c r="B478" s="110">
        <f t="shared" si="30"/>
        <v>0</v>
      </c>
      <c r="C478" s="110"/>
      <c r="D478" s="110"/>
      <c r="E478" s="17"/>
      <c r="F478" s="17"/>
      <c r="G478" s="19"/>
      <c r="H478" s="17"/>
      <c r="I478" s="19"/>
      <c r="J478" s="19"/>
      <c r="K478" s="19"/>
      <c r="L478" s="17"/>
      <c r="M478" s="17"/>
      <c r="N478" s="19"/>
      <c r="O478" s="17"/>
      <c r="P478" s="19"/>
      <c r="Q478" s="19"/>
      <c r="R478" s="19"/>
    </row>
    <row r="479" spans="2:18" ht="14.1" customHeight="1" x14ac:dyDescent="0.3">
      <c r="B479" s="110">
        <f t="shared" si="30"/>
        <v>0</v>
      </c>
      <c r="C479" s="110"/>
      <c r="D479" s="110"/>
      <c r="E479" s="17"/>
      <c r="F479" s="17"/>
      <c r="G479" s="19"/>
      <c r="H479" s="17"/>
      <c r="I479" s="19"/>
      <c r="J479" s="19"/>
      <c r="K479" s="19"/>
      <c r="L479" s="17"/>
      <c r="M479" s="17"/>
      <c r="N479" s="19"/>
      <c r="O479" s="17"/>
      <c r="P479" s="19"/>
      <c r="Q479" s="19"/>
      <c r="R479" s="19"/>
    </row>
    <row r="480" spans="2:18" ht="14.1" customHeight="1" x14ac:dyDescent="0.3">
      <c r="B480" s="110">
        <f t="shared" si="30"/>
        <v>0</v>
      </c>
      <c r="C480" s="110"/>
      <c r="D480" s="110"/>
      <c r="E480" s="17"/>
      <c r="F480" s="17"/>
      <c r="G480" s="19"/>
      <c r="H480" s="17"/>
      <c r="I480" s="19"/>
      <c r="J480" s="19"/>
      <c r="K480" s="19"/>
      <c r="L480" s="17"/>
      <c r="M480" s="17"/>
      <c r="N480" s="19"/>
      <c r="O480" s="17"/>
      <c r="P480" s="19"/>
      <c r="Q480" s="19"/>
      <c r="R480" s="19"/>
    </row>
    <row r="481" spans="2:18" ht="14.1" customHeight="1" x14ac:dyDescent="0.3">
      <c r="B481" s="110">
        <f t="shared" si="30"/>
        <v>0</v>
      </c>
      <c r="C481" s="110"/>
      <c r="D481" s="110"/>
      <c r="E481" s="17"/>
      <c r="F481" s="17"/>
      <c r="G481" s="19"/>
      <c r="H481" s="17"/>
      <c r="I481" s="19"/>
      <c r="J481" s="19"/>
      <c r="K481" s="19"/>
      <c r="L481" s="17"/>
      <c r="M481" s="17"/>
      <c r="N481" s="19"/>
      <c r="O481" s="17"/>
      <c r="P481" s="19"/>
      <c r="Q481" s="19"/>
      <c r="R481" s="19"/>
    </row>
    <row r="482" spans="2:18" ht="14.1" customHeight="1" x14ac:dyDescent="0.3">
      <c r="B482" s="110">
        <f t="shared" si="30"/>
        <v>0</v>
      </c>
      <c r="C482" s="110"/>
      <c r="D482" s="110"/>
      <c r="E482" s="17"/>
      <c r="F482" s="17"/>
      <c r="G482" s="19"/>
      <c r="H482" s="17"/>
      <c r="I482" s="19"/>
      <c r="J482" s="19"/>
      <c r="K482" s="19"/>
      <c r="L482" s="17"/>
      <c r="M482" s="17"/>
      <c r="N482" s="19"/>
      <c r="O482" s="17"/>
      <c r="P482" s="19"/>
      <c r="Q482" s="19"/>
      <c r="R482" s="19"/>
    </row>
    <row r="483" spans="2:18" ht="14.1" customHeight="1" x14ac:dyDescent="0.3">
      <c r="B483" s="110">
        <f t="shared" si="30"/>
        <v>0</v>
      </c>
      <c r="C483" s="110"/>
      <c r="D483" s="110"/>
      <c r="E483" s="17"/>
      <c r="F483" s="17"/>
      <c r="G483" s="19"/>
      <c r="H483" s="17"/>
      <c r="I483" s="19"/>
      <c r="J483" s="19"/>
      <c r="K483" s="19"/>
      <c r="L483" s="17"/>
      <c r="M483" s="17"/>
      <c r="N483" s="19"/>
      <c r="O483" s="17"/>
      <c r="P483" s="19"/>
      <c r="Q483" s="19"/>
      <c r="R483" s="19"/>
    </row>
    <row r="484" spans="2:18" ht="14.1" customHeight="1" x14ac:dyDescent="0.3">
      <c r="B484" s="110">
        <f t="shared" si="30"/>
        <v>0</v>
      </c>
      <c r="C484" s="110"/>
      <c r="D484" s="110"/>
      <c r="E484" s="17"/>
      <c r="F484" s="17"/>
      <c r="G484" s="19"/>
      <c r="H484" s="17"/>
      <c r="I484" s="19"/>
      <c r="J484" s="19"/>
      <c r="K484" s="19"/>
      <c r="L484" s="17"/>
      <c r="M484" s="17"/>
      <c r="N484" s="19"/>
      <c r="O484" s="17"/>
      <c r="P484" s="19"/>
      <c r="Q484" s="19"/>
      <c r="R484" s="19"/>
    </row>
    <row r="485" spans="2:18" ht="14.1" customHeight="1" x14ac:dyDescent="0.3">
      <c r="B485" s="110">
        <f t="shared" si="30"/>
        <v>0</v>
      </c>
      <c r="C485" s="110"/>
      <c r="D485" s="110"/>
      <c r="E485" s="17"/>
      <c r="F485" s="17"/>
      <c r="G485" s="19"/>
      <c r="H485" s="17"/>
      <c r="I485" s="19"/>
      <c r="J485" s="19"/>
      <c r="K485" s="19"/>
      <c r="L485" s="17"/>
      <c r="M485" s="17"/>
      <c r="N485" s="19"/>
      <c r="O485" s="17"/>
      <c r="P485" s="19"/>
      <c r="Q485" s="19"/>
      <c r="R485" s="19"/>
    </row>
    <row r="486" spans="2:18" ht="14.1" customHeight="1" x14ac:dyDescent="0.3">
      <c r="B486" s="110">
        <f t="shared" si="30"/>
        <v>0</v>
      </c>
      <c r="C486" s="110"/>
      <c r="D486" s="110"/>
      <c r="E486" s="17"/>
      <c r="F486" s="17"/>
      <c r="G486" s="19"/>
      <c r="H486" s="17"/>
      <c r="I486" s="19"/>
      <c r="J486" s="19"/>
      <c r="K486" s="19"/>
      <c r="L486" s="17"/>
      <c r="M486" s="17"/>
      <c r="N486" s="19"/>
      <c r="O486" s="17"/>
      <c r="P486" s="19"/>
      <c r="Q486" s="19"/>
      <c r="R486" s="19"/>
    </row>
    <row r="487" spans="2:18" ht="14.1" customHeight="1" x14ac:dyDescent="0.3">
      <c r="B487" s="110">
        <f t="shared" si="30"/>
        <v>0</v>
      </c>
      <c r="C487" s="110"/>
      <c r="D487" s="110"/>
      <c r="E487" s="17"/>
      <c r="F487" s="17"/>
      <c r="G487" s="19"/>
      <c r="H487" s="17"/>
      <c r="I487" s="19"/>
      <c r="J487" s="19"/>
      <c r="K487" s="19"/>
      <c r="L487" s="17"/>
      <c r="M487" s="17"/>
      <c r="N487" s="19"/>
      <c r="O487" s="17"/>
      <c r="P487" s="19"/>
      <c r="Q487" s="19"/>
      <c r="R487" s="19"/>
    </row>
    <row r="488" spans="2:18" ht="14.1" customHeight="1" x14ac:dyDescent="0.3">
      <c r="B488" s="110">
        <f t="shared" si="30"/>
        <v>0</v>
      </c>
      <c r="C488" s="110"/>
      <c r="D488" s="110"/>
      <c r="E488" s="17"/>
      <c r="F488" s="17"/>
      <c r="G488" s="19"/>
      <c r="H488" s="17"/>
      <c r="I488" s="19"/>
      <c r="J488" s="19"/>
      <c r="K488" s="19"/>
      <c r="L488" s="17"/>
      <c r="M488" s="17"/>
      <c r="N488" s="19"/>
      <c r="O488" s="17"/>
      <c r="P488" s="19"/>
      <c r="Q488" s="19"/>
      <c r="R488" s="19"/>
    </row>
    <row r="489" spans="2:18" ht="14.1" customHeight="1" x14ac:dyDescent="0.3">
      <c r="B489" s="110">
        <f t="shared" si="30"/>
        <v>0</v>
      </c>
      <c r="C489" s="110"/>
      <c r="D489" s="110"/>
      <c r="E489" s="17"/>
      <c r="F489" s="17"/>
      <c r="G489" s="19"/>
      <c r="H489" s="17"/>
      <c r="I489" s="19"/>
      <c r="J489" s="19"/>
      <c r="K489" s="19"/>
      <c r="L489" s="17"/>
      <c r="M489" s="17"/>
      <c r="N489" s="19"/>
      <c r="O489" s="17"/>
      <c r="P489" s="19"/>
      <c r="Q489" s="19"/>
      <c r="R489" s="19"/>
    </row>
    <row r="490" spans="2:18" ht="14.1" customHeight="1" x14ac:dyDescent="0.3">
      <c r="B490" s="110">
        <f t="shared" si="30"/>
        <v>0</v>
      </c>
      <c r="C490" s="110"/>
      <c r="D490" s="110"/>
      <c r="E490" s="17"/>
      <c r="F490" s="17"/>
      <c r="G490" s="19"/>
      <c r="H490" s="17"/>
      <c r="I490" s="19"/>
      <c r="J490" s="19"/>
      <c r="K490" s="19"/>
      <c r="L490" s="17"/>
      <c r="M490" s="17"/>
      <c r="N490" s="19"/>
      <c r="O490" s="17"/>
      <c r="P490" s="19"/>
      <c r="Q490" s="19"/>
      <c r="R490" s="19"/>
    </row>
    <row r="491" spans="2:18" ht="14.1" customHeight="1" x14ac:dyDescent="0.3">
      <c r="B491" s="110">
        <f t="shared" si="30"/>
        <v>0</v>
      </c>
      <c r="C491" s="110"/>
      <c r="D491" s="110"/>
      <c r="E491" s="17"/>
      <c r="F491" s="17"/>
      <c r="G491" s="19"/>
      <c r="H491" s="17"/>
      <c r="I491" s="19"/>
      <c r="J491" s="19"/>
      <c r="K491" s="19"/>
      <c r="L491" s="17"/>
      <c r="M491" s="17"/>
      <c r="N491" s="19"/>
      <c r="O491" s="17"/>
      <c r="P491" s="19"/>
      <c r="Q491" s="19"/>
      <c r="R491" s="19"/>
    </row>
    <row r="492" spans="2:18" ht="14.1" customHeight="1" x14ac:dyDescent="0.3">
      <c r="B492" s="110">
        <f t="shared" si="30"/>
        <v>0</v>
      </c>
      <c r="C492" s="110"/>
      <c r="D492" s="110"/>
      <c r="E492" s="17"/>
      <c r="F492" s="17"/>
      <c r="G492" s="19"/>
      <c r="H492" s="17"/>
      <c r="I492" s="19"/>
      <c r="J492" s="19"/>
      <c r="K492" s="19"/>
      <c r="L492" s="17"/>
      <c r="M492" s="17"/>
      <c r="N492" s="19"/>
      <c r="O492" s="17"/>
      <c r="P492" s="19"/>
      <c r="Q492" s="19"/>
      <c r="R492" s="19"/>
    </row>
    <row r="493" spans="2:18" ht="14.1" customHeight="1" x14ac:dyDescent="0.3">
      <c r="B493" s="110">
        <f t="shared" ref="B493:B495" si="31">B124</f>
        <v>0</v>
      </c>
      <c r="C493" s="110"/>
      <c r="D493" s="110"/>
      <c r="E493" s="17"/>
      <c r="F493" s="17"/>
      <c r="G493" s="19"/>
      <c r="H493" s="17"/>
      <c r="I493" s="19"/>
      <c r="J493" s="19"/>
      <c r="K493" s="19"/>
      <c r="L493" s="17"/>
      <c r="M493" s="17"/>
      <c r="N493" s="19"/>
      <c r="O493" s="17"/>
      <c r="P493" s="19"/>
      <c r="Q493" s="19"/>
      <c r="R493" s="19"/>
    </row>
    <row r="494" spans="2:18" ht="14.1" customHeight="1" x14ac:dyDescent="0.3">
      <c r="B494" s="110">
        <f t="shared" si="31"/>
        <v>0</v>
      </c>
      <c r="C494" s="110"/>
      <c r="D494" s="110"/>
      <c r="E494" s="17"/>
      <c r="F494" s="17"/>
      <c r="G494" s="19"/>
      <c r="H494" s="17"/>
      <c r="I494" s="19"/>
      <c r="J494" s="19"/>
      <c r="K494" s="19"/>
      <c r="L494" s="17"/>
      <c r="M494" s="17"/>
      <c r="N494" s="19"/>
      <c r="O494" s="17"/>
      <c r="P494" s="19"/>
      <c r="Q494" s="19"/>
      <c r="R494" s="19"/>
    </row>
    <row r="495" spans="2:18" ht="14.1" customHeight="1" x14ac:dyDescent="0.3">
      <c r="B495" s="110">
        <f t="shared" si="31"/>
        <v>0</v>
      </c>
      <c r="C495" s="110"/>
      <c r="D495" s="110"/>
      <c r="E495" s="17"/>
      <c r="F495" s="17"/>
      <c r="G495" s="19"/>
      <c r="H495" s="17"/>
      <c r="I495" s="19"/>
      <c r="J495" s="19"/>
      <c r="K495" s="19"/>
      <c r="L495" s="17"/>
      <c r="M495" s="17"/>
      <c r="N495" s="19"/>
      <c r="O495" s="17"/>
      <c r="P495" s="19"/>
      <c r="Q495" s="19"/>
      <c r="R495" s="19"/>
    </row>
    <row r="496" spans="2:18" ht="14.1" customHeight="1" x14ac:dyDescent="0.3">
      <c r="B496" s="110">
        <f>B46</f>
        <v>0</v>
      </c>
      <c r="C496" s="110"/>
      <c r="D496" s="110"/>
      <c r="E496" s="17"/>
      <c r="F496" s="17"/>
      <c r="G496" s="19"/>
      <c r="H496" s="17"/>
      <c r="I496" s="19"/>
      <c r="J496" s="19"/>
      <c r="K496" s="19"/>
      <c r="L496" s="17"/>
      <c r="M496" s="17"/>
      <c r="N496" s="19"/>
      <c r="O496" s="17"/>
      <c r="P496" s="19"/>
      <c r="Q496" s="19"/>
      <c r="R496" s="19"/>
    </row>
    <row r="497" spans="2:18" ht="14.1" customHeight="1" x14ac:dyDescent="0.3">
      <c r="B497" s="110">
        <f>B47</f>
        <v>0</v>
      </c>
      <c r="C497" s="110"/>
      <c r="D497" s="110"/>
      <c r="E497" s="17"/>
      <c r="F497" s="17"/>
      <c r="G497" s="19"/>
      <c r="H497" s="17"/>
      <c r="I497" s="19"/>
      <c r="J497" s="19"/>
      <c r="K497" s="19"/>
      <c r="L497" s="17"/>
      <c r="M497" s="17"/>
      <c r="N497" s="19"/>
      <c r="O497" s="17"/>
      <c r="P497" s="19"/>
      <c r="Q497" s="19"/>
      <c r="R497" s="19"/>
    </row>
    <row r="498" spans="2:18" ht="14.1" customHeight="1" x14ac:dyDescent="0.3">
      <c r="B498" s="110">
        <f>B48</f>
        <v>0</v>
      </c>
      <c r="C498" s="110"/>
      <c r="D498" s="110"/>
      <c r="E498" s="17"/>
      <c r="F498" s="17"/>
      <c r="G498" s="19"/>
      <c r="H498" s="17"/>
      <c r="I498" s="19"/>
      <c r="J498" s="19"/>
      <c r="K498" s="19"/>
      <c r="L498" s="17"/>
      <c r="M498" s="17"/>
      <c r="N498" s="19"/>
      <c r="O498" s="17"/>
      <c r="P498" s="19"/>
      <c r="Q498" s="19"/>
      <c r="R498" s="19"/>
    </row>
    <row r="499" spans="2:18" ht="14.1" customHeight="1" x14ac:dyDescent="0.3">
      <c r="B499" s="110">
        <f>B49</f>
        <v>0</v>
      </c>
      <c r="C499" s="110"/>
      <c r="D499" s="110"/>
      <c r="E499" s="17"/>
      <c r="F499" s="17"/>
      <c r="G499" s="19"/>
      <c r="H499" s="17"/>
      <c r="I499" s="19"/>
      <c r="J499" s="19"/>
      <c r="K499" s="19"/>
      <c r="L499" s="17"/>
      <c r="M499" s="17"/>
      <c r="N499" s="19"/>
      <c r="O499" s="17"/>
      <c r="P499" s="19"/>
      <c r="Q499" s="19"/>
      <c r="R499" s="19"/>
    </row>
    <row r="500" spans="2:18" ht="14.1" customHeight="1" x14ac:dyDescent="0.3">
      <c r="B500" s="110">
        <f t="shared" ref="B500:B502" si="32">B131</f>
        <v>0</v>
      </c>
      <c r="C500" s="110"/>
      <c r="D500" s="110"/>
      <c r="E500" s="17"/>
      <c r="F500" s="17"/>
      <c r="G500" s="19"/>
      <c r="H500" s="17"/>
      <c r="I500" s="19"/>
      <c r="J500" s="19"/>
      <c r="K500" s="19"/>
      <c r="L500" s="17"/>
      <c r="M500" s="17"/>
      <c r="N500" s="19"/>
      <c r="O500" s="17"/>
      <c r="P500" s="19"/>
      <c r="Q500" s="19"/>
      <c r="R500" s="19"/>
    </row>
    <row r="501" spans="2:18" ht="14.1" customHeight="1" x14ac:dyDescent="0.3">
      <c r="B501" s="110">
        <f t="shared" si="32"/>
        <v>0</v>
      </c>
      <c r="C501" s="110"/>
      <c r="D501" s="110"/>
      <c r="E501" s="17"/>
      <c r="F501" s="17"/>
      <c r="G501" s="19"/>
      <c r="H501" s="17"/>
      <c r="I501" s="19"/>
      <c r="J501" s="19"/>
      <c r="K501" s="19"/>
      <c r="L501" s="17"/>
      <c r="M501" s="17"/>
      <c r="N501" s="19"/>
      <c r="O501" s="17"/>
      <c r="P501" s="19"/>
      <c r="Q501" s="19"/>
      <c r="R501" s="19"/>
    </row>
    <row r="502" spans="2:18" ht="14.1" customHeight="1" x14ac:dyDescent="0.3">
      <c r="B502" s="110">
        <f t="shared" si="32"/>
        <v>0</v>
      </c>
      <c r="C502" s="110"/>
      <c r="D502" s="110"/>
      <c r="E502" s="17"/>
      <c r="F502" s="17"/>
      <c r="G502" s="19"/>
      <c r="H502" s="17"/>
      <c r="I502" s="19"/>
      <c r="J502" s="19"/>
      <c r="K502" s="19"/>
      <c r="L502" s="17"/>
      <c r="M502" s="17"/>
      <c r="N502" s="19"/>
      <c r="O502" s="17"/>
      <c r="P502" s="19"/>
      <c r="Q502" s="19"/>
      <c r="R502" s="19"/>
    </row>
    <row r="503" spans="2:18" ht="14.1" customHeight="1" x14ac:dyDescent="0.3">
      <c r="B503" s="110">
        <f t="shared" ref="B503:B518" si="33">B53</f>
        <v>0</v>
      </c>
      <c r="C503" s="110"/>
      <c r="D503" s="110"/>
      <c r="E503" s="17"/>
      <c r="F503" s="17"/>
      <c r="G503" s="19"/>
      <c r="H503" s="17"/>
      <c r="I503" s="19"/>
      <c r="J503" s="19"/>
      <c r="K503" s="19"/>
      <c r="L503" s="17"/>
      <c r="M503" s="17"/>
      <c r="N503" s="19"/>
      <c r="O503" s="17"/>
      <c r="P503" s="19"/>
      <c r="Q503" s="19"/>
      <c r="R503" s="19"/>
    </row>
    <row r="504" spans="2:18" ht="14.1" customHeight="1" x14ac:dyDescent="0.3">
      <c r="B504" s="110">
        <f t="shared" si="33"/>
        <v>0</v>
      </c>
      <c r="C504" s="110"/>
      <c r="D504" s="110"/>
      <c r="E504" s="17"/>
      <c r="F504" s="17"/>
      <c r="G504" s="19"/>
      <c r="H504" s="17"/>
      <c r="I504" s="19"/>
      <c r="J504" s="19"/>
      <c r="K504" s="19"/>
      <c r="L504" s="17"/>
      <c r="M504" s="17"/>
      <c r="N504" s="19"/>
      <c r="O504" s="17"/>
      <c r="P504" s="19"/>
      <c r="Q504" s="19"/>
      <c r="R504" s="19"/>
    </row>
    <row r="505" spans="2:18" ht="14.1" customHeight="1" x14ac:dyDescent="0.3">
      <c r="B505" s="110">
        <f t="shared" si="33"/>
        <v>0</v>
      </c>
      <c r="C505" s="110"/>
      <c r="D505" s="110"/>
      <c r="E505" s="17"/>
      <c r="F505" s="17"/>
      <c r="G505" s="19"/>
      <c r="H505" s="17"/>
      <c r="I505" s="19"/>
      <c r="J505" s="19"/>
      <c r="K505" s="19"/>
      <c r="L505" s="17"/>
      <c r="M505" s="17"/>
      <c r="N505" s="19"/>
      <c r="O505" s="17"/>
      <c r="P505" s="19"/>
      <c r="Q505" s="19"/>
      <c r="R505" s="19"/>
    </row>
    <row r="506" spans="2:18" ht="14.1" customHeight="1" x14ac:dyDescent="0.3">
      <c r="B506" s="110">
        <f t="shared" si="33"/>
        <v>0</v>
      </c>
      <c r="C506" s="110"/>
      <c r="D506" s="110"/>
      <c r="E506" s="17"/>
      <c r="F506" s="17"/>
      <c r="G506" s="19"/>
      <c r="H506" s="17"/>
      <c r="I506" s="19"/>
      <c r="J506" s="19"/>
      <c r="K506" s="19"/>
      <c r="L506" s="17"/>
      <c r="M506" s="17"/>
      <c r="N506" s="19"/>
      <c r="O506" s="17"/>
      <c r="P506" s="19"/>
      <c r="Q506" s="19"/>
      <c r="R506" s="19"/>
    </row>
    <row r="507" spans="2:18" ht="14.1" customHeight="1" x14ac:dyDescent="0.3">
      <c r="B507" s="110">
        <f t="shared" si="33"/>
        <v>0</v>
      </c>
      <c r="C507" s="110"/>
      <c r="D507" s="110"/>
      <c r="E507" s="17"/>
      <c r="F507" s="17"/>
      <c r="G507" s="19"/>
      <c r="H507" s="17"/>
      <c r="I507" s="19"/>
      <c r="J507" s="19"/>
      <c r="K507" s="19"/>
      <c r="L507" s="17"/>
      <c r="M507" s="17"/>
      <c r="N507" s="19"/>
      <c r="O507" s="17"/>
      <c r="P507" s="19"/>
      <c r="Q507" s="19"/>
      <c r="R507" s="19"/>
    </row>
    <row r="508" spans="2:18" ht="14.1" customHeight="1" x14ac:dyDescent="0.3">
      <c r="B508" s="110">
        <f t="shared" si="33"/>
        <v>0</v>
      </c>
      <c r="C508" s="110"/>
      <c r="D508" s="110"/>
      <c r="E508" s="17"/>
      <c r="F508" s="17"/>
      <c r="G508" s="19"/>
      <c r="H508" s="17"/>
      <c r="I508" s="19"/>
      <c r="J508" s="19"/>
      <c r="K508" s="19"/>
      <c r="L508" s="17"/>
      <c r="M508" s="17"/>
      <c r="N508" s="19"/>
      <c r="O508" s="17"/>
      <c r="P508" s="19"/>
      <c r="Q508" s="19"/>
      <c r="R508" s="19"/>
    </row>
    <row r="509" spans="2:18" ht="14.1" customHeight="1" x14ac:dyDescent="0.3">
      <c r="B509" s="110">
        <f t="shared" si="33"/>
        <v>0</v>
      </c>
      <c r="C509" s="110"/>
      <c r="D509" s="110"/>
      <c r="E509" s="17"/>
      <c r="F509" s="17"/>
      <c r="G509" s="19"/>
      <c r="H509" s="17"/>
      <c r="I509" s="19"/>
      <c r="J509" s="19"/>
      <c r="K509" s="19"/>
      <c r="L509" s="17"/>
      <c r="M509" s="17"/>
      <c r="N509" s="19"/>
      <c r="O509" s="17"/>
      <c r="P509" s="19"/>
      <c r="Q509" s="19"/>
      <c r="R509" s="19"/>
    </row>
    <row r="510" spans="2:18" ht="14.1" customHeight="1" x14ac:dyDescent="0.3">
      <c r="B510" s="110">
        <f t="shared" si="33"/>
        <v>0</v>
      </c>
      <c r="C510" s="110"/>
      <c r="D510" s="110"/>
      <c r="E510" s="17"/>
      <c r="F510" s="17"/>
      <c r="G510" s="19"/>
      <c r="H510" s="17"/>
      <c r="I510" s="19"/>
      <c r="J510" s="19"/>
      <c r="K510" s="19"/>
      <c r="L510" s="17"/>
      <c r="M510" s="17"/>
      <c r="N510" s="19"/>
      <c r="O510" s="17"/>
      <c r="P510" s="19"/>
      <c r="Q510" s="19"/>
      <c r="R510" s="19"/>
    </row>
    <row r="511" spans="2:18" ht="14.1" customHeight="1" x14ac:dyDescent="0.3">
      <c r="B511" s="110">
        <f t="shared" si="33"/>
        <v>0</v>
      </c>
      <c r="C511" s="110"/>
      <c r="D511" s="110"/>
      <c r="E511" s="17"/>
      <c r="F511" s="17"/>
      <c r="G511" s="19"/>
      <c r="H511" s="17"/>
      <c r="I511" s="19"/>
      <c r="J511" s="19"/>
      <c r="K511" s="19"/>
      <c r="L511" s="17"/>
      <c r="M511" s="17"/>
      <c r="N511" s="19"/>
      <c r="O511" s="17"/>
      <c r="P511" s="19"/>
      <c r="Q511" s="19"/>
      <c r="R511" s="19"/>
    </row>
    <row r="512" spans="2:18" ht="14.1" customHeight="1" x14ac:dyDescent="0.3">
      <c r="B512" s="110">
        <f t="shared" si="33"/>
        <v>0</v>
      </c>
      <c r="C512" s="110"/>
      <c r="D512" s="110"/>
      <c r="E512" s="17"/>
      <c r="F512" s="17"/>
      <c r="G512" s="19"/>
      <c r="H512" s="17"/>
      <c r="I512" s="19"/>
      <c r="J512" s="19"/>
      <c r="K512" s="19"/>
      <c r="L512" s="17"/>
      <c r="M512" s="17"/>
      <c r="N512" s="19"/>
      <c r="O512" s="17"/>
      <c r="P512" s="19"/>
      <c r="Q512" s="19"/>
      <c r="R512" s="19"/>
    </row>
    <row r="513" spans="2:18" ht="14.1" customHeight="1" x14ac:dyDescent="0.3">
      <c r="B513" s="110">
        <f t="shared" si="33"/>
        <v>0</v>
      </c>
      <c r="C513" s="110"/>
      <c r="D513" s="110"/>
      <c r="E513" s="17"/>
      <c r="F513" s="17"/>
      <c r="G513" s="19"/>
      <c r="H513" s="17"/>
      <c r="I513" s="19"/>
      <c r="J513" s="19"/>
      <c r="K513" s="19"/>
      <c r="L513" s="17"/>
      <c r="M513" s="17"/>
      <c r="N513" s="19"/>
      <c r="O513" s="17"/>
      <c r="P513" s="19"/>
      <c r="Q513" s="19"/>
      <c r="R513" s="19"/>
    </row>
    <row r="514" spans="2:18" ht="14.1" customHeight="1" x14ac:dyDescent="0.3">
      <c r="B514" s="110">
        <f t="shared" si="33"/>
        <v>0</v>
      </c>
      <c r="C514" s="110"/>
      <c r="D514" s="110"/>
      <c r="E514" s="17"/>
      <c r="F514" s="17"/>
      <c r="G514" s="19"/>
      <c r="H514" s="17"/>
      <c r="I514" s="19"/>
      <c r="J514" s="19"/>
      <c r="K514" s="19"/>
      <c r="L514" s="17"/>
      <c r="M514" s="17"/>
      <c r="N514" s="19"/>
      <c r="O514" s="17"/>
      <c r="P514" s="19"/>
      <c r="Q514" s="19"/>
      <c r="R514" s="19"/>
    </row>
    <row r="515" spans="2:18" ht="14.1" customHeight="1" x14ac:dyDescent="0.3">
      <c r="B515" s="110">
        <f t="shared" si="33"/>
        <v>0</v>
      </c>
      <c r="C515" s="110"/>
      <c r="D515" s="110"/>
      <c r="E515" s="17"/>
      <c r="F515" s="17"/>
      <c r="G515" s="19"/>
      <c r="H515" s="17"/>
      <c r="I515" s="19"/>
      <c r="J515" s="19"/>
      <c r="K515" s="19"/>
      <c r="L515" s="17"/>
      <c r="M515" s="17"/>
      <c r="N515" s="19"/>
      <c r="O515" s="17"/>
      <c r="P515" s="19"/>
      <c r="Q515" s="19"/>
      <c r="R515" s="19"/>
    </row>
    <row r="516" spans="2:18" ht="14.1" customHeight="1" x14ac:dyDescent="0.3">
      <c r="B516" s="110">
        <f t="shared" si="33"/>
        <v>0</v>
      </c>
      <c r="C516" s="110"/>
      <c r="D516" s="110"/>
      <c r="E516" s="17"/>
      <c r="F516" s="17"/>
      <c r="G516" s="19"/>
      <c r="H516" s="17"/>
      <c r="I516" s="19"/>
      <c r="J516" s="19"/>
      <c r="K516" s="19"/>
      <c r="L516" s="17"/>
      <c r="M516" s="17"/>
      <c r="N516" s="19"/>
      <c r="O516" s="17"/>
      <c r="P516" s="19"/>
      <c r="Q516" s="19"/>
      <c r="R516" s="19"/>
    </row>
    <row r="517" spans="2:18" ht="14.1" customHeight="1" x14ac:dyDescent="0.3">
      <c r="B517" s="110">
        <f t="shared" si="33"/>
        <v>0</v>
      </c>
      <c r="C517" s="110"/>
      <c r="D517" s="110"/>
      <c r="E517" s="17"/>
      <c r="F517" s="17"/>
      <c r="G517" s="19"/>
      <c r="H517" s="17"/>
      <c r="I517" s="19"/>
      <c r="J517" s="19"/>
      <c r="K517" s="19"/>
      <c r="L517" s="17"/>
      <c r="M517" s="17"/>
      <c r="N517" s="19"/>
      <c r="O517" s="17"/>
      <c r="P517" s="19"/>
      <c r="Q517" s="19"/>
      <c r="R517" s="19"/>
    </row>
    <row r="518" spans="2:18" ht="14.1" customHeight="1" x14ac:dyDescent="0.3">
      <c r="B518" s="110">
        <f t="shared" si="33"/>
        <v>0</v>
      </c>
      <c r="C518" s="110"/>
      <c r="D518" s="110"/>
      <c r="E518" s="17"/>
      <c r="F518" s="17"/>
      <c r="G518" s="19"/>
      <c r="H518" s="17"/>
      <c r="I518" s="19"/>
      <c r="J518" s="19"/>
      <c r="K518" s="19"/>
      <c r="L518" s="17"/>
      <c r="M518" s="17"/>
      <c r="N518" s="19"/>
      <c r="O518" s="17"/>
      <c r="P518" s="19"/>
      <c r="Q518" s="19"/>
      <c r="R518" s="19"/>
    </row>
    <row r="519" spans="2:18" ht="14.1" customHeight="1" x14ac:dyDescent="0.3">
      <c r="B519" s="110">
        <f t="shared" ref="B519:B523" si="34">B150</f>
        <v>0</v>
      </c>
      <c r="C519" s="110"/>
      <c r="D519" s="110"/>
      <c r="E519" s="17"/>
      <c r="F519" s="17"/>
      <c r="G519" s="19"/>
      <c r="H519" s="17"/>
      <c r="I519" s="19"/>
      <c r="J519" s="19"/>
      <c r="K519" s="19"/>
      <c r="L519" s="17"/>
      <c r="M519" s="17"/>
      <c r="N519" s="19"/>
      <c r="O519" s="17"/>
      <c r="P519" s="19"/>
      <c r="Q519" s="19"/>
      <c r="R519" s="19"/>
    </row>
    <row r="520" spans="2:18" ht="14.1" customHeight="1" x14ac:dyDescent="0.3">
      <c r="B520" s="110">
        <f t="shared" si="34"/>
        <v>0</v>
      </c>
      <c r="C520" s="110"/>
      <c r="D520" s="110"/>
      <c r="E520" s="17"/>
      <c r="F520" s="17"/>
      <c r="G520" s="19"/>
      <c r="H520" s="17"/>
      <c r="I520" s="19"/>
      <c r="J520" s="19"/>
      <c r="K520" s="19"/>
      <c r="L520" s="17"/>
      <c r="M520" s="17"/>
      <c r="N520" s="19"/>
      <c r="O520" s="17"/>
      <c r="P520" s="19"/>
      <c r="Q520" s="19"/>
      <c r="R520" s="19"/>
    </row>
    <row r="521" spans="2:18" ht="14.1" customHeight="1" x14ac:dyDescent="0.3">
      <c r="B521" s="110">
        <f t="shared" si="34"/>
        <v>0</v>
      </c>
      <c r="C521" s="110"/>
      <c r="D521" s="110"/>
      <c r="E521" s="17"/>
      <c r="F521" s="17"/>
      <c r="G521" s="19"/>
      <c r="H521" s="17"/>
      <c r="I521" s="19"/>
      <c r="J521" s="19"/>
      <c r="K521" s="19"/>
      <c r="L521" s="17"/>
      <c r="M521" s="17"/>
      <c r="N521" s="19"/>
      <c r="O521" s="17"/>
      <c r="P521" s="19"/>
      <c r="Q521" s="19"/>
      <c r="R521" s="19"/>
    </row>
    <row r="522" spans="2:18" ht="14.1" customHeight="1" x14ac:dyDescent="0.3">
      <c r="B522" s="110">
        <f t="shared" si="34"/>
        <v>0</v>
      </c>
      <c r="C522" s="110"/>
      <c r="D522" s="110"/>
      <c r="E522" s="17"/>
      <c r="F522" s="17"/>
      <c r="G522" s="19"/>
      <c r="H522" s="17"/>
      <c r="I522" s="19"/>
      <c r="J522" s="19"/>
      <c r="K522" s="19"/>
      <c r="L522" s="17"/>
      <c r="M522" s="17"/>
      <c r="N522" s="19"/>
      <c r="O522" s="17"/>
      <c r="P522" s="19"/>
      <c r="Q522" s="19"/>
      <c r="R522" s="19"/>
    </row>
    <row r="523" spans="2:18" ht="14.1" customHeight="1" x14ac:dyDescent="0.3">
      <c r="B523" s="110">
        <f t="shared" si="34"/>
        <v>0</v>
      </c>
      <c r="C523" s="110"/>
      <c r="D523" s="110"/>
      <c r="E523" s="17"/>
      <c r="F523" s="17"/>
      <c r="G523" s="19"/>
      <c r="H523" s="17"/>
      <c r="I523" s="19"/>
      <c r="J523" s="19"/>
      <c r="K523" s="19"/>
      <c r="L523" s="17"/>
      <c r="M523" s="17"/>
      <c r="N523" s="19"/>
      <c r="O523" s="17"/>
      <c r="P523" s="19"/>
      <c r="Q523" s="19"/>
      <c r="R523" s="19"/>
    </row>
    <row r="524" spans="2:18" ht="14.1" customHeight="1" x14ac:dyDescent="0.3">
      <c r="B524" s="110">
        <f>B108</f>
        <v>0</v>
      </c>
      <c r="C524" s="110"/>
      <c r="D524" s="110"/>
      <c r="E524" s="17"/>
      <c r="F524" s="17"/>
      <c r="G524" s="19"/>
      <c r="H524" s="17"/>
      <c r="I524" s="19"/>
      <c r="J524" s="19"/>
      <c r="K524" s="19"/>
      <c r="L524" s="17"/>
      <c r="M524" s="17"/>
      <c r="N524" s="19"/>
      <c r="O524" s="17"/>
      <c r="P524" s="19"/>
      <c r="Q524" s="19"/>
      <c r="R524" s="19"/>
    </row>
    <row r="525" spans="2:18" ht="14.1" customHeight="1" x14ac:dyDescent="0.3">
      <c r="B525" s="16"/>
      <c r="C525" s="21"/>
      <c r="D525" s="8" t="s">
        <v>29</v>
      </c>
      <c r="E525" s="9"/>
      <c r="F525" s="9">
        <f>SUM(F458:F524)</f>
        <v>0</v>
      </c>
      <c r="G525" s="9">
        <f>SUM(G458:G524)</f>
        <v>0</v>
      </c>
      <c r="H525" s="9">
        <f>SUM(H458:H524)</f>
        <v>0</v>
      </c>
      <c r="I525" s="9"/>
      <c r="J525" s="26">
        <f>SUM(J458:J524)</f>
        <v>0</v>
      </c>
      <c r="K525" s="9">
        <f>SUM(K458:K524)</f>
        <v>0</v>
      </c>
      <c r="L525" s="9"/>
      <c r="M525" s="9">
        <f>SUM(M458:M524)</f>
        <v>0</v>
      </c>
      <c r="N525" s="9">
        <f>SUM(N458:N524)</f>
        <v>0</v>
      </c>
      <c r="O525" s="9">
        <f>SUM(O458:O524)</f>
        <v>0</v>
      </c>
      <c r="P525" s="9"/>
      <c r="Q525" s="26">
        <f>SUM(Q458:Q524)</f>
        <v>0</v>
      </c>
      <c r="R525" s="9">
        <f>SUM(R458:R524)</f>
        <v>0</v>
      </c>
    </row>
    <row r="526" spans="2:18" ht="14.1" customHeight="1" x14ac:dyDescent="0.3">
      <c r="B526" s="31"/>
      <c r="C526" s="15"/>
      <c r="D526" s="29"/>
      <c r="E526" s="21"/>
      <c r="F526" s="21"/>
      <c r="H526" s="21"/>
      <c r="L526" s="21"/>
      <c r="M526" s="21"/>
      <c r="O526" s="21"/>
    </row>
    <row r="527" spans="2:18" ht="14.1" customHeight="1" x14ac:dyDescent="0.3">
      <c r="B527" s="29"/>
      <c r="C527" s="21"/>
      <c r="D527" s="29"/>
      <c r="E527" s="21"/>
      <c r="F527" s="21"/>
      <c r="H527" s="21"/>
      <c r="L527" s="21"/>
      <c r="M527" s="21"/>
      <c r="O527" s="21"/>
    </row>
    <row r="528" spans="2:18" ht="14.1" customHeight="1" x14ac:dyDescent="0.3">
      <c r="B528" s="15"/>
      <c r="C528" s="15"/>
      <c r="D528" s="15"/>
      <c r="E528" s="116" t="s">
        <v>51</v>
      </c>
      <c r="F528" s="116"/>
      <c r="G528" s="116"/>
      <c r="H528" s="117" t="s">
        <v>52</v>
      </c>
      <c r="I528" s="117"/>
      <c r="J528" s="117"/>
      <c r="K528" s="117"/>
      <c r="L528" s="117"/>
      <c r="M528" s="117" t="s">
        <v>53</v>
      </c>
      <c r="N528" s="117"/>
      <c r="O528" s="117"/>
      <c r="P528" s="117"/>
    </row>
    <row r="529" spans="2:16" ht="14.1" customHeight="1" x14ac:dyDescent="0.3">
      <c r="B529" s="116" t="s">
        <v>5</v>
      </c>
      <c r="C529" s="116"/>
      <c r="D529" s="116"/>
      <c r="E529" s="9" t="s">
        <v>6</v>
      </c>
      <c r="F529" s="9" t="s">
        <v>7</v>
      </c>
      <c r="G529" s="9" t="s">
        <v>8</v>
      </c>
      <c r="H529" s="116" t="s">
        <v>11</v>
      </c>
      <c r="I529" s="9" t="s">
        <v>7</v>
      </c>
      <c r="J529" s="9" t="s">
        <v>6</v>
      </c>
      <c r="K529" s="9" t="s">
        <v>9</v>
      </c>
      <c r="L529" s="9" t="s">
        <v>10</v>
      </c>
      <c r="M529" s="116" t="s">
        <v>11</v>
      </c>
      <c r="N529" s="9" t="s">
        <v>7</v>
      </c>
      <c r="O529" s="9" t="s">
        <v>6</v>
      </c>
      <c r="P529" s="9" t="s">
        <v>9</v>
      </c>
    </row>
    <row r="530" spans="2:16" ht="14.1" customHeight="1" x14ac:dyDescent="0.3">
      <c r="B530" s="116"/>
      <c r="C530" s="116"/>
      <c r="D530" s="116"/>
      <c r="E530" s="17" t="s">
        <v>13</v>
      </c>
      <c r="F530" s="17" t="s">
        <v>13</v>
      </c>
      <c r="G530" s="17" t="s">
        <v>13</v>
      </c>
      <c r="H530" s="116"/>
      <c r="I530" s="17" t="s">
        <v>13</v>
      </c>
      <c r="J530" s="17" t="s">
        <v>13</v>
      </c>
      <c r="K530" s="17" t="s">
        <v>13</v>
      </c>
      <c r="L530" s="17" t="s">
        <v>54</v>
      </c>
      <c r="M530" s="116"/>
      <c r="N530" s="17" t="s">
        <v>13</v>
      </c>
      <c r="O530" s="17" t="s">
        <v>13</v>
      </c>
      <c r="P530" s="17" t="s">
        <v>13</v>
      </c>
    </row>
    <row r="531" spans="2:16" ht="14.1" customHeight="1" x14ac:dyDescent="0.3">
      <c r="B531" s="110"/>
      <c r="C531" s="110"/>
      <c r="D531" s="110"/>
      <c r="E531" s="17"/>
      <c r="F531" s="17"/>
      <c r="G531" s="17"/>
      <c r="H531" s="17"/>
      <c r="I531" s="17"/>
      <c r="J531" s="17"/>
      <c r="K531" s="19"/>
      <c r="L531" s="19"/>
      <c r="M531" s="17"/>
      <c r="N531" s="17"/>
      <c r="O531" s="19"/>
      <c r="P531" s="19"/>
    </row>
    <row r="532" spans="2:16" ht="14.1" customHeight="1" x14ac:dyDescent="0.3">
      <c r="B532" s="110"/>
      <c r="C532" s="110"/>
      <c r="D532" s="110"/>
      <c r="E532" s="17"/>
      <c r="F532" s="17"/>
      <c r="G532" s="17"/>
      <c r="H532" s="17"/>
      <c r="I532" s="17"/>
      <c r="J532" s="17"/>
      <c r="K532" s="19"/>
      <c r="L532" s="19"/>
      <c r="M532" s="17"/>
      <c r="N532" s="17"/>
      <c r="O532" s="19"/>
      <c r="P532" s="19"/>
    </row>
    <row r="533" spans="2:16" ht="14.1" customHeight="1" x14ac:dyDescent="0.3">
      <c r="B533" s="110"/>
      <c r="C533" s="110"/>
      <c r="D533" s="110"/>
      <c r="E533" s="17"/>
      <c r="F533" s="17"/>
      <c r="G533" s="17"/>
      <c r="H533" s="17"/>
      <c r="I533" s="17"/>
      <c r="J533" s="17"/>
      <c r="K533" s="19"/>
      <c r="L533" s="19"/>
      <c r="M533" s="17"/>
      <c r="N533" s="17"/>
      <c r="O533" s="19"/>
      <c r="P533" s="19"/>
    </row>
    <row r="534" spans="2:16" ht="14.1" customHeight="1" x14ac:dyDescent="0.3">
      <c r="B534" s="110"/>
      <c r="C534" s="110"/>
      <c r="D534" s="110"/>
      <c r="E534" s="17"/>
      <c r="F534" s="17"/>
      <c r="G534" s="17"/>
      <c r="H534" s="17"/>
      <c r="I534" s="17"/>
      <c r="J534" s="17"/>
      <c r="K534" s="19"/>
      <c r="L534" s="19"/>
      <c r="M534" s="17"/>
      <c r="N534" s="17"/>
      <c r="O534" s="19"/>
      <c r="P534" s="19"/>
    </row>
    <row r="535" spans="2:16" ht="14.1" customHeight="1" x14ac:dyDescent="0.3">
      <c r="B535" s="110"/>
      <c r="C535" s="110"/>
      <c r="D535" s="110"/>
      <c r="E535" s="17"/>
      <c r="F535" s="17"/>
      <c r="G535" s="17"/>
      <c r="H535" s="17"/>
      <c r="I535" s="17"/>
      <c r="J535" s="17"/>
      <c r="K535" s="19"/>
      <c r="L535" s="19"/>
      <c r="M535" s="17"/>
      <c r="N535" s="17"/>
      <c r="O535" s="19"/>
      <c r="P535" s="19"/>
    </row>
    <row r="536" spans="2:16" ht="14.1" customHeight="1" x14ac:dyDescent="0.3">
      <c r="B536" s="110"/>
      <c r="C536" s="110"/>
      <c r="D536" s="110"/>
      <c r="E536" s="17"/>
      <c r="F536" s="17"/>
      <c r="G536" s="17"/>
      <c r="H536" s="17"/>
      <c r="I536" s="17"/>
      <c r="J536" s="17"/>
      <c r="K536" s="19"/>
      <c r="L536" s="19"/>
      <c r="M536" s="17"/>
      <c r="N536" s="17"/>
      <c r="O536" s="19"/>
      <c r="P536" s="19"/>
    </row>
    <row r="537" spans="2:16" ht="14.1" customHeight="1" x14ac:dyDescent="0.3">
      <c r="B537" s="110"/>
      <c r="C537" s="110"/>
      <c r="D537" s="110"/>
      <c r="E537" s="17"/>
      <c r="F537" s="17"/>
      <c r="G537" s="17"/>
      <c r="H537" s="17"/>
      <c r="I537" s="17"/>
      <c r="J537" s="17"/>
      <c r="K537" s="19"/>
      <c r="L537" s="19"/>
      <c r="M537" s="17"/>
      <c r="N537" s="17"/>
      <c r="O537" s="19"/>
      <c r="P537" s="19"/>
    </row>
    <row r="538" spans="2:16" ht="14.1" customHeight="1" x14ac:dyDescent="0.3">
      <c r="B538" s="110"/>
      <c r="C538" s="110"/>
      <c r="D538" s="110"/>
      <c r="E538" s="17"/>
      <c r="F538" s="17"/>
      <c r="G538" s="17"/>
      <c r="H538" s="17"/>
      <c r="I538" s="17"/>
      <c r="J538" s="17"/>
      <c r="K538" s="19"/>
      <c r="L538" s="19"/>
      <c r="M538" s="17"/>
      <c r="N538" s="17"/>
      <c r="O538" s="19"/>
      <c r="P538" s="19"/>
    </row>
    <row r="539" spans="2:16" ht="14.1" customHeight="1" x14ac:dyDescent="0.3">
      <c r="B539" s="110"/>
      <c r="C539" s="110"/>
      <c r="D539" s="110"/>
      <c r="E539" s="17"/>
      <c r="F539" s="17"/>
      <c r="G539" s="17"/>
      <c r="H539" s="17"/>
      <c r="I539" s="17"/>
      <c r="J539" s="17"/>
      <c r="K539" s="19"/>
      <c r="L539" s="19"/>
      <c r="M539" s="17"/>
      <c r="N539" s="17"/>
      <c r="O539" s="19"/>
      <c r="P539" s="19"/>
    </row>
    <row r="540" spans="2:16" ht="14.1" customHeight="1" x14ac:dyDescent="0.3">
      <c r="B540" s="110"/>
      <c r="C540" s="110"/>
      <c r="D540" s="110"/>
      <c r="E540" s="17"/>
      <c r="F540" s="17"/>
      <c r="G540" s="17"/>
      <c r="H540" s="17"/>
      <c r="I540" s="17"/>
      <c r="J540" s="17"/>
      <c r="K540" s="19"/>
      <c r="L540" s="19"/>
      <c r="M540" s="17"/>
      <c r="N540" s="17"/>
      <c r="O540" s="19"/>
      <c r="P540" s="19"/>
    </row>
    <row r="541" spans="2:16" ht="14.1" customHeight="1" x14ac:dyDescent="0.3">
      <c r="B541" s="110"/>
      <c r="C541" s="110"/>
      <c r="D541" s="110"/>
      <c r="E541" s="17"/>
      <c r="F541" s="17"/>
      <c r="G541" s="17"/>
      <c r="H541" s="17"/>
      <c r="I541" s="17"/>
      <c r="J541" s="17"/>
      <c r="K541" s="19"/>
      <c r="L541" s="19"/>
      <c r="M541" s="17"/>
      <c r="N541" s="17"/>
      <c r="O541" s="19"/>
      <c r="P541" s="19"/>
    </row>
    <row r="542" spans="2:16" ht="14.1" customHeight="1" x14ac:dyDescent="0.3">
      <c r="B542" s="110"/>
      <c r="C542" s="110"/>
      <c r="D542" s="110"/>
      <c r="E542" s="17"/>
      <c r="F542" s="17"/>
      <c r="G542" s="17"/>
      <c r="H542" s="17"/>
      <c r="I542" s="17"/>
      <c r="J542" s="17"/>
      <c r="K542" s="19"/>
      <c r="L542" s="19"/>
      <c r="M542" s="17"/>
      <c r="N542" s="17"/>
      <c r="O542" s="19"/>
      <c r="P542" s="19"/>
    </row>
    <row r="543" spans="2:16" ht="14.1" customHeight="1" x14ac:dyDescent="0.3">
      <c r="B543" s="110"/>
      <c r="C543" s="110"/>
      <c r="D543" s="110"/>
      <c r="E543" s="17"/>
      <c r="F543" s="17"/>
      <c r="G543" s="17"/>
      <c r="H543" s="17"/>
      <c r="I543" s="17"/>
      <c r="J543" s="17"/>
      <c r="K543" s="19"/>
      <c r="L543" s="19"/>
      <c r="M543" s="17"/>
      <c r="N543" s="17"/>
      <c r="O543" s="19"/>
      <c r="P543" s="19"/>
    </row>
    <row r="544" spans="2:16" ht="14.1" customHeight="1" x14ac:dyDescent="0.3">
      <c r="B544" s="110"/>
      <c r="C544" s="110"/>
      <c r="D544" s="110"/>
      <c r="E544" s="17"/>
      <c r="F544" s="17"/>
      <c r="G544" s="17"/>
      <c r="H544" s="17"/>
      <c r="I544" s="17"/>
      <c r="J544" s="17"/>
      <c r="K544" s="19"/>
      <c r="L544" s="19"/>
      <c r="M544" s="17"/>
      <c r="N544" s="17"/>
      <c r="O544" s="19"/>
      <c r="P544" s="19"/>
    </row>
    <row r="545" spans="2:16" ht="14.1" customHeight="1" x14ac:dyDescent="0.3">
      <c r="B545" s="110"/>
      <c r="C545" s="110"/>
      <c r="D545" s="110"/>
      <c r="E545" s="17"/>
      <c r="F545" s="17"/>
      <c r="G545" s="17"/>
      <c r="H545" s="17"/>
      <c r="I545" s="17"/>
      <c r="J545" s="17"/>
      <c r="K545" s="19"/>
      <c r="L545" s="19"/>
      <c r="M545" s="17"/>
      <c r="N545" s="17"/>
      <c r="O545" s="19"/>
      <c r="P545" s="19"/>
    </row>
    <row r="546" spans="2:16" ht="14.1" customHeight="1" x14ac:dyDescent="0.3">
      <c r="B546" s="110"/>
      <c r="C546" s="110"/>
      <c r="D546" s="110"/>
      <c r="E546" s="17"/>
      <c r="F546" s="17"/>
      <c r="G546" s="17"/>
      <c r="H546" s="17"/>
      <c r="I546" s="17"/>
      <c r="J546" s="17"/>
      <c r="K546" s="19"/>
      <c r="L546" s="19"/>
      <c r="M546" s="17"/>
      <c r="N546" s="17"/>
      <c r="O546" s="19"/>
      <c r="P546" s="19"/>
    </row>
    <row r="547" spans="2:16" ht="14.1" customHeight="1" x14ac:dyDescent="0.3">
      <c r="B547" s="110"/>
      <c r="C547" s="110"/>
      <c r="D547" s="110"/>
      <c r="E547" s="17"/>
      <c r="F547" s="17"/>
      <c r="G547" s="17"/>
      <c r="H547" s="17"/>
      <c r="I547" s="17"/>
      <c r="J547" s="17"/>
      <c r="K547" s="19"/>
      <c r="L547" s="19"/>
      <c r="M547" s="17"/>
      <c r="N547" s="17"/>
      <c r="O547" s="19"/>
      <c r="P547" s="19"/>
    </row>
    <row r="548" spans="2:16" ht="14.1" customHeight="1" x14ac:dyDescent="0.3">
      <c r="B548" s="110"/>
      <c r="C548" s="110"/>
      <c r="D548" s="110"/>
      <c r="E548" s="17"/>
      <c r="F548" s="17"/>
      <c r="G548" s="17"/>
      <c r="H548" s="17"/>
      <c r="I548" s="17"/>
      <c r="J548" s="17"/>
      <c r="K548" s="19"/>
      <c r="L548" s="19"/>
      <c r="M548" s="17"/>
      <c r="N548" s="17"/>
      <c r="O548" s="19"/>
      <c r="P548" s="19"/>
    </row>
    <row r="549" spans="2:16" ht="14.1" customHeight="1" x14ac:dyDescent="0.3">
      <c r="B549" s="110"/>
      <c r="C549" s="110"/>
      <c r="D549" s="110"/>
      <c r="E549" s="17"/>
      <c r="F549" s="17"/>
      <c r="G549" s="17"/>
      <c r="H549" s="17"/>
      <c r="I549" s="17"/>
      <c r="J549" s="17"/>
      <c r="K549" s="19"/>
      <c r="L549" s="19"/>
      <c r="M549" s="17"/>
      <c r="N549" s="17"/>
      <c r="O549" s="19"/>
      <c r="P549" s="19"/>
    </row>
    <row r="550" spans="2:16" ht="14.1" customHeight="1" x14ac:dyDescent="0.3">
      <c r="B550" s="110"/>
      <c r="C550" s="110"/>
      <c r="D550" s="110"/>
      <c r="E550" s="17"/>
      <c r="F550" s="17"/>
      <c r="G550" s="17"/>
      <c r="H550" s="17"/>
      <c r="I550" s="17"/>
      <c r="J550" s="17"/>
      <c r="K550" s="19"/>
      <c r="L550" s="19"/>
      <c r="M550" s="17"/>
      <c r="N550" s="17"/>
      <c r="O550" s="19"/>
      <c r="P550" s="19"/>
    </row>
    <row r="551" spans="2:16" ht="14.1" customHeight="1" x14ac:dyDescent="0.3">
      <c r="B551" s="110"/>
      <c r="C551" s="110"/>
      <c r="D551" s="110"/>
      <c r="E551" s="17"/>
      <c r="F551" s="17"/>
      <c r="G551" s="17"/>
      <c r="H551" s="17"/>
      <c r="I551" s="17"/>
      <c r="J551" s="17"/>
      <c r="K551" s="19"/>
      <c r="L551" s="19"/>
      <c r="M551" s="17"/>
      <c r="N551" s="17"/>
      <c r="O551" s="19"/>
      <c r="P551" s="19"/>
    </row>
    <row r="552" spans="2:16" ht="14.1" customHeight="1" x14ac:dyDescent="0.3">
      <c r="B552" s="110"/>
      <c r="C552" s="110"/>
      <c r="D552" s="110"/>
      <c r="E552" s="17"/>
      <c r="F552" s="17"/>
      <c r="G552" s="17"/>
      <c r="H552" s="17"/>
      <c r="I552" s="17"/>
      <c r="J552" s="17"/>
      <c r="K552" s="19"/>
      <c r="L552" s="19"/>
      <c r="M552" s="17"/>
      <c r="N552" s="17"/>
      <c r="O552" s="19"/>
      <c r="P552" s="19"/>
    </row>
    <row r="553" spans="2:16" ht="14.1" customHeight="1" x14ac:dyDescent="0.3">
      <c r="B553" s="110"/>
      <c r="C553" s="110"/>
      <c r="D553" s="110"/>
      <c r="E553" s="17"/>
      <c r="F553" s="17"/>
      <c r="G553" s="17"/>
      <c r="H553" s="17"/>
      <c r="I553" s="17"/>
      <c r="J553" s="17"/>
      <c r="K553" s="19"/>
      <c r="L553" s="19"/>
      <c r="M553" s="17"/>
      <c r="N553" s="17"/>
      <c r="O553" s="19"/>
      <c r="P553" s="19"/>
    </row>
    <row r="554" spans="2:16" ht="14.1" customHeight="1" x14ac:dyDescent="0.3">
      <c r="B554" s="110"/>
      <c r="C554" s="110"/>
      <c r="D554" s="110"/>
      <c r="E554" s="17"/>
      <c r="F554" s="17"/>
      <c r="G554" s="17"/>
      <c r="H554" s="17"/>
      <c r="I554" s="17"/>
      <c r="J554" s="17"/>
      <c r="K554" s="19"/>
      <c r="L554" s="19"/>
      <c r="M554" s="17"/>
      <c r="N554" s="17"/>
      <c r="O554" s="19"/>
      <c r="P554" s="19"/>
    </row>
    <row r="555" spans="2:16" ht="14.1" customHeight="1" x14ac:dyDescent="0.3">
      <c r="B555" s="110"/>
      <c r="C555" s="110"/>
      <c r="D555" s="110"/>
      <c r="E555" s="17"/>
      <c r="F555" s="17"/>
      <c r="G555" s="17"/>
      <c r="H555" s="17"/>
      <c r="I555" s="17"/>
      <c r="J555" s="17"/>
      <c r="K555" s="19"/>
      <c r="L555" s="19"/>
      <c r="M555" s="17"/>
      <c r="N555" s="17"/>
      <c r="O555" s="19"/>
      <c r="P555" s="19"/>
    </row>
    <row r="556" spans="2:16" ht="14.1" customHeight="1" x14ac:dyDescent="0.3">
      <c r="B556" s="110"/>
      <c r="C556" s="110"/>
      <c r="D556" s="110"/>
      <c r="E556" s="17"/>
      <c r="F556" s="17"/>
      <c r="G556" s="17"/>
      <c r="H556" s="17"/>
      <c r="I556" s="17"/>
      <c r="J556" s="17"/>
      <c r="K556" s="19"/>
      <c r="L556" s="19"/>
      <c r="M556" s="17"/>
      <c r="N556" s="17"/>
      <c r="O556" s="19"/>
      <c r="P556" s="19"/>
    </row>
    <row r="557" spans="2:16" ht="14.1" customHeight="1" x14ac:dyDescent="0.3">
      <c r="B557" s="110"/>
      <c r="C557" s="110"/>
      <c r="D557" s="110"/>
      <c r="E557" s="17"/>
      <c r="F557" s="17"/>
      <c r="G557" s="17"/>
      <c r="H557" s="17"/>
      <c r="I557" s="17"/>
      <c r="J557" s="17"/>
      <c r="K557" s="19"/>
      <c r="L557" s="19"/>
      <c r="M557" s="17"/>
      <c r="N557" s="17"/>
      <c r="O557" s="19"/>
      <c r="P557" s="19"/>
    </row>
    <row r="558" spans="2:16" ht="14.1" customHeight="1" x14ac:dyDescent="0.3">
      <c r="B558" s="110"/>
      <c r="C558" s="110"/>
      <c r="D558" s="110"/>
      <c r="E558" s="17"/>
      <c r="F558" s="17"/>
      <c r="G558" s="17"/>
      <c r="H558" s="17"/>
      <c r="I558" s="17"/>
      <c r="J558" s="17"/>
      <c r="K558" s="19"/>
      <c r="L558" s="19"/>
      <c r="M558" s="17"/>
      <c r="N558" s="17"/>
      <c r="O558" s="19"/>
      <c r="P558" s="19"/>
    </row>
    <row r="559" spans="2:16" ht="14.1" customHeight="1" x14ac:dyDescent="0.3">
      <c r="B559" s="110"/>
      <c r="C559" s="110"/>
      <c r="D559" s="110"/>
      <c r="E559" s="17"/>
      <c r="F559" s="17"/>
      <c r="G559" s="17"/>
      <c r="H559" s="17"/>
      <c r="I559" s="17"/>
      <c r="J559" s="17"/>
      <c r="K559" s="19"/>
      <c r="L559" s="19"/>
      <c r="M559" s="17"/>
      <c r="N559" s="17"/>
      <c r="O559" s="19"/>
      <c r="P559" s="19"/>
    </row>
    <row r="560" spans="2:16" ht="14.1" customHeight="1" x14ac:dyDescent="0.3">
      <c r="B560" s="110"/>
      <c r="C560" s="110"/>
      <c r="D560" s="110"/>
      <c r="E560" s="17"/>
      <c r="F560" s="17"/>
      <c r="G560" s="17"/>
      <c r="H560" s="17"/>
      <c r="I560" s="17"/>
      <c r="J560" s="17"/>
      <c r="K560" s="19"/>
      <c r="L560" s="19"/>
      <c r="M560" s="17"/>
      <c r="N560" s="17"/>
      <c r="O560" s="19"/>
      <c r="P560" s="19"/>
    </row>
    <row r="561" spans="2:16" ht="14.1" customHeight="1" x14ac:dyDescent="0.3">
      <c r="B561" s="110"/>
      <c r="C561" s="110"/>
      <c r="D561" s="110"/>
      <c r="E561" s="17"/>
      <c r="F561" s="17"/>
      <c r="G561" s="17"/>
      <c r="H561" s="17"/>
      <c r="I561" s="17"/>
      <c r="J561" s="17"/>
      <c r="K561" s="19"/>
      <c r="L561" s="19"/>
      <c r="M561" s="17"/>
      <c r="N561" s="17"/>
      <c r="O561" s="19"/>
      <c r="P561" s="19"/>
    </row>
    <row r="562" spans="2:16" ht="14.1" customHeight="1" x14ac:dyDescent="0.3">
      <c r="B562" s="110"/>
      <c r="C562" s="110"/>
      <c r="D562" s="110"/>
      <c r="E562" s="17"/>
      <c r="F562" s="17"/>
      <c r="G562" s="17"/>
      <c r="H562" s="17"/>
      <c r="I562" s="17"/>
      <c r="J562" s="17"/>
      <c r="K562" s="19"/>
      <c r="L562" s="19"/>
      <c r="M562" s="17"/>
      <c r="N562" s="17"/>
      <c r="O562" s="19"/>
      <c r="P562" s="19"/>
    </row>
    <row r="563" spans="2:16" ht="14.1" customHeight="1" x14ac:dyDescent="0.3">
      <c r="B563" s="110"/>
      <c r="C563" s="110"/>
      <c r="D563" s="110"/>
      <c r="E563" s="17"/>
      <c r="F563" s="17"/>
      <c r="G563" s="17"/>
      <c r="H563" s="17"/>
      <c r="I563" s="17"/>
      <c r="J563" s="17"/>
      <c r="K563" s="19"/>
      <c r="L563" s="19"/>
      <c r="M563" s="17"/>
      <c r="N563" s="17"/>
      <c r="O563" s="19"/>
      <c r="P563" s="19"/>
    </row>
    <row r="564" spans="2:16" ht="14.1" customHeight="1" x14ac:dyDescent="0.3">
      <c r="B564" s="110"/>
      <c r="C564" s="110"/>
      <c r="D564" s="110"/>
      <c r="E564" s="17"/>
      <c r="F564" s="17"/>
      <c r="G564" s="17"/>
      <c r="H564" s="17"/>
      <c r="I564" s="17"/>
      <c r="J564" s="17"/>
      <c r="K564" s="19"/>
      <c r="L564" s="19"/>
      <c r="M564" s="17"/>
      <c r="N564" s="17"/>
      <c r="O564" s="19"/>
      <c r="P564" s="19"/>
    </row>
    <row r="565" spans="2:16" ht="14.1" customHeight="1" x14ac:dyDescent="0.3">
      <c r="B565" s="110"/>
      <c r="C565" s="110"/>
      <c r="D565" s="110"/>
      <c r="E565" s="17"/>
      <c r="F565" s="17"/>
      <c r="G565" s="17"/>
      <c r="H565" s="17"/>
      <c r="I565" s="17"/>
      <c r="J565" s="17"/>
      <c r="K565" s="19"/>
      <c r="L565" s="19"/>
      <c r="M565" s="17"/>
      <c r="N565" s="17"/>
      <c r="O565" s="19"/>
      <c r="P565" s="19"/>
    </row>
    <row r="566" spans="2:16" ht="14.1" customHeight="1" x14ac:dyDescent="0.3">
      <c r="B566" s="110"/>
      <c r="C566" s="110"/>
      <c r="D566" s="110"/>
      <c r="E566" s="17"/>
      <c r="F566" s="17"/>
      <c r="G566" s="17"/>
      <c r="H566" s="17"/>
      <c r="I566" s="17"/>
      <c r="J566" s="17"/>
      <c r="K566" s="19"/>
      <c r="L566" s="19"/>
      <c r="M566" s="17"/>
      <c r="N566" s="17"/>
      <c r="O566" s="19"/>
      <c r="P566" s="19"/>
    </row>
    <row r="567" spans="2:16" ht="14.1" customHeight="1" x14ac:dyDescent="0.3">
      <c r="B567" s="110"/>
      <c r="C567" s="110"/>
      <c r="D567" s="110"/>
      <c r="E567" s="17"/>
      <c r="F567" s="17"/>
      <c r="G567" s="17"/>
      <c r="H567" s="17"/>
      <c r="I567" s="17"/>
      <c r="J567" s="17"/>
      <c r="K567" s="19"/>
      <c r="L567" s="19"/>
      <c r="M567" s="17"/>
      <c r="N567" s="17"/>
      <c r="O567" s="19"/>
      <c r="P567" s="19"/>
    </row>
    <row r="568" spans="2:16" ht="14.1" customHeight="1" x14ac:dyDescent="0.3">
      <c r="B568" s="110"/>
      <c r="C568" s="110"/>
      <c r="D568" s="110"/>
      <c r="E568" s="17"/>
      <c r="F568" s="17"/>
      <c r="G568" s="17"/>
      <c r="H568" s="17"/>
      <c r="I568" s="17"/>
      <c r="J568" s="17"/>
      <c r="K568" s="19"/>
      <c r="L568" s="19"/>
      <c r="M568" s="17"/>
      <c r="N568" s="17"/>
      <c r="O568" s="19"/>
      <c r="P568" s="19"/>
    </row>
    <row r="569" spans="2:16" ht="14.1" customHeight="1" x14ac:dyDescent="0.3">
      <c r="B569" s="110"/>
      <c r="C569" s="110"/>
      <c r="D569" s="110"/>
      <c r="E569" s="17"/>
      <c r="F569" s="17"/>
      <c r="G569" s="17"/>
      <c r="H569" s="17"/>
      <c r="I569" s="17"/>
      <c r="J569" s="17"/>
      <c r="K569" s="19"/>
      <c r="L569" s="19"/>
      <c r="M569" s="17"/>
      <c r="N569" s="17"/>
      <c r="O569" s="19"/>
      <c r="P569" s="19"/>
    </row>
    <row r="570" spans="2:16" ht="14.1" customHeight="1" x14ac:dyDescent="0.3">
      <c r="B570" s="110"/>
      <c r="C570" s="110"/>
      <c r="D570" s="110"/>
      <c r="E570" s="17"/>
      <c r="F570" s="17"/>
      <c r="G570" s="17"/>
      <c r="H570" s="17"/>
      <c r="I570" s="17"/>
      <c r="J570" s="17"/>
      <c r="K570" s="19"/>
      <c r="L570" s="19"/>
      <c r="M570" s="17"/>
      <c r="N570" s="17"/>
      <c r="O570" s="19"/>
      <c r="P570" s="19"/>
    </row>
    <row r="571" spans="2:16" ht="14.1" customHeight="1" x14ac:dyDescent="0.3">
      <c r="B571" s="110"/>
      <c r="C571" s="110"/>
      <c r="D571" s="110"/>
      <c r="E571" s="17"/>
      <c r="F571" s="17"/>
      <c r="G571" s="17"/>
      <c r="H571" s="17"/>
      <c r="I571" s="17"/>
      <c r="J571" s="17"/>
      <c r="K571" s="19"/>
      <c r="L571" s="19"/>
      <c r="M571" s="17"/>
      <c r="N571" s="17"/>
      <c r="O571" s="19"/>
      <c r="P571" s="19"/>
    </row>
    <row r="572" spans="2:16" ht="14.1" customHeight="1" x14ac:dyDescent="0.3">
      <c r="B572" s="110"/>
      <c r="C572" s="110"/>
      <c r="D572" s="110"/>
      <c r="E572" s="17"/>
      <c r="F572" s="17"/>
      <c r="G572" s="17"/>
      <c r="H572" s="17"/>
      <c r="I572" s="17"/>
      <c r="J572" s="17"/>
      <c r="K572" s="19"/>
      <c r="L572" s="19"/>
      <c r="M572" s="17"/>
      <c r="N572" s="17"/>
      <c r="O572" s="19"/>
      <c r="P572" s="19"/>
    </row>
    <row r="573" spans="2:16" ht="14.1" customHeight="1" x14ac:dyDescent="0.3">
      <c r="B573" s="110"/>
      <c r="C573" s="110"/>
      <c r="D573" s="110"/>
      <c r="E573" s="17"/>
      <c r="F573" s="17"/>
      <c r="G573" s="17"/>
      <c r="H573" s="17"/>
      <c r="I573" s="17"/>
      <c r="J573" s="17"/>
      <c r="K573" s="19"/>
      <c r="L573" s="19"/>
      <c r="M573" s="17"/>
      <c r="N573" s="17"/>
      <c r="O573" s="19"/>
      <c r="P573" s="19"/>
    </row>
    <row r="574" spans="2:16" ht="14.1" customHeight="1" x14ac:dyDescent="0.3">
      <c r="B574" s="110"/>
      <c r="C574" s="110"/>
      <c r="D574" s="110"/>
      <c r="E574" s="17"/>
      <c r="F574" s="17"/>
      <c r="G574" s="17"/>
      <c r="H574" s="17"/>
      <c r="I574" s="17"/>
      <c r="J574" s="17"/>
      <c r="K574" s="19"/>
      <c r="L574" s="19"/>
      <c r="M574" s="17"/>
      <c r="N574" s="17"/>
      <c r="O574" s="19"/>
      <c r="P574" s="19"/>
    </row>
    <row r="575" spans="2:16" ht="14.1" customHeight="1" x14ac:dyDescent="0.3">
      <c r="B575" s="110"/>
      <c r="C575" s="110"/>
      <c r="D575" s="110"/>
      <c r="E575" s="17"/>
      <c r="F575" s="17"/>
      <c r="G575" s="17"/>
      <c r="H575" s="17"/>
      <c r="I575" s="17"/>
      <c r="J575" s="17"/>
      <c r="K575" s="19"/>
      <c r="L575" s="19"/>
      <c r="M575" s="17"/>
      <c r="N575" s="17"/>
      <c r="O575" s="19"/>
      <c r="P575" s="19"/>
    </row>
    <row r="576" spans="2:16" ht="14.1" customHeight="1" x14ac:dyDescent="0.3">
      <c r="B576" s="110"/>
      <c r="C576" s="110"/>
      <c r="D576" s="110"/>
      <c r="E576" s="17"/>
      <c r="F576" s="17"/>
      <c r="G576" s="17"/>
      <c r="H576" s="17"/>
      <c r="I576" s="17"/>
      <c r="J576" s="17"/>
      <c r="K576" s="19"/>
      <c r="L576" s="19"/>
      <c r="M576" s="17"/>
      <c r="N576" s="17"/>
      <c r="O576" s="19"/>
      <c r="P576" s="19"/>
    </row>
    <row r="577" spans="2:16" ht="14.1" customHeight="1" x14ac:dyDescent="0.3">
      <c r="B577" s="110"/>
      <c r="C577" s="110"/>
      <c r="D577" s="110"/>
      <c r="E577" s="17"/>
      <c r="F577" s="17"/>
      <c r="G577" s="17"/>
      <c r="H577" s="17"/>
      <c r="I577" s="17"/>
      <c r="J577" s="17"/>
      <c r="K577" s="19"/>
      <c r="L577" s="19"/>
      <c r="M577" s="17"/>
      <c r="N577" s="17"/>
      <c r="O577" s="19"/>
      <c r="P577" s="19"/>
    </row>
    <row r="578" spans="2:16" ht="14.1" customHeight="1" x14ac:dyDescent="0.3">
      <c r="B578" s="110"/>
      <c r="C578" s="110"/>
      <c r="D578" s="110"/>
      <c r="E578" s="17"/>
      <c r="F578" s="17"/>
      <c r="G578" s="17"/>
      <c r="H578" s="17"/>
      <c r="I578" s="17"/>
      <c r="J578" s="17"/>
      <c r="K578" s="19"/>
      <c r="L578" s="19"/>
      <c r="M578" s="17"/>
      <c r="N578" s="17"/>
      <c r="O578" s="19"/>
      <c r="P578" s="19"/>
    </row>
    <row r="579" spans="2:16" ht="14.1" customHeight="1" x14ac:dyDescent="0.3">
      <c r="B579" s="110"/>
      <c r="C579" s="110"/>
      <c r="D579" s="110"/>
      <c r="E579" s="17"/>
      <c r="F579" s="17"/>
      <c r="G579" s="17"/>
      <c r="H579" s="17"/>
      <c r="I579" s="17"/>
      <c r="J579" s="17"/>
      <c r="K579" s="19"/>
      <c r="L579" s="19"/>
      <c r="M579" s="17"/>
      <c r="N579" s="17"/>
      <c r="O579" s="19"/>
      <c r="P579" s="19"/>
    </row>
    <row r="580" spans="2:16" ht="14.1" customHeight="1" x14ac:dyDescent="0.3">
      <c r="B580" s="110"/>
      <c r="C580" s="110"/>
      <c r="D580" s="110"/>
      <c r="E580" s="17"/>
      <c r="F580" s="17"/>
      <c r="G580" s="17"/>
      <c r="H580" s="17"/>
      <c r="I580" s="17"/>
      <c r="J580" s="17"/>
      <c r="K580" s="19"/>
      <c r="L580" s="19"/>
      <c r="M580" s="17"/>
      <c r="N580" s="17"/>
      <c r="O580" s="19"/>
      <c r="P580" s="19"/>
    </row>
    <row r="581" spans="2:16" ht="14.1" customHeight="1" x14ac:dyDescent="0.3">
      <c r="B581" s="110"/>
      <c r="C581" s="110"/>
      <c r="D581" s="110"/>
      <c r="E581" s="17"/>
      <c r="F581" s="17"/>
      <c r="G581" s="17"/>
      <c r="H581" s="17"/>
      <c r="I581" s="17"/>
      <c r="J581" s="17"/>
      <c r="K581" s="19"/>
      <c r="L581" s="19"/>
      <c r="M581" s="17"/>
      <c r="N581" s="17"/>
      <c r="O581" s="19"/>
      <c r="P581" s="19"/>
    </row>
    <row r="582" spans="2:16" ht="14.1" customHeight="1" x14ac:dyDescent="0.3">
      <c r="B582" s="110"/>
      <c r="C582" s="110"/>
      <c r="D582" s="110"/>
      <c r="E582" s="17"/>
      <c r="F582" s="17"/>
      <c r="G582" s="17"/>
      <c r="H582" s="17"/>
      <c r="I582" s="17"/>
      <c r="J582" s="17"/>
      <c r="K582" s="19"/>
      <c r="L582" s="19"/>
      <c r="M582" s="17"/>
      <c r="N582" s="17"/>
      <c r="O582" s="19"/>
      <c r="P582" s="19"/>
    </row>
    <row r="583" spans="2:16" ht="14.1" customHeight="1" x14ac:dyDescent="0.3">
      <c r="B583" s="110"/>
      <c r="C583" s="110"/>
      <c r="D583" s="110"/>
      <c r="E583" s="17"/>
      <c r="F583" s="17"/>
      <c r="G583" s="17"/>
      <c r="H583" s="17"/>
      <c r="I583" s="17"/>
      <c r="J583" s="17"/>
      <c r="K583" s="19"/>
      <c r="L583" s="19"/>
      <c r="M583" s="17"/>
      <c r="N583" s="17"/>
      <c r="O583" s="19"/>
      <c r="P583" s="19"/>
    </row>
    <row r="584" spans="2:16" ht="14.1" customHeight="1" x14ac:dyDescent="0.3">
      <c r="B584" s="110"/>
      <c r="C584" s="110"/>
      <c r="D584" s="110"/>
      <c r="E584" s="17"/>
      <c r="F584" s="17"/>
      <c r="G584" s="17"/>
      <c r="H584" s="17"/>
      <c r="I584" s="17"/>
      <c r="J584" s="17"/>
      <c r="K584" s="19"/>
      <c r="L584" s="19"/>
      <c r="M584" s="17"/>
      <c r="N584" s="17"/>
      <c r="O584" s="19"/>
      <c r="P584" s="19"/>
    </row>
    <row r="585" spans="2:16" ht="14.1" customHeight="1" x14ac:dyDescent="0.3">
      <c r="B585" s="32"/>
      <c r="C585" s="33"/>
      <c r="D585" s="33"/>
    </row>
    <row r="586" spans="2:16" ht="14.1" customHeight="1" x14ac:dyDescent="0.3">
      <c r="B586" s="32"/>
      <c r="C586" s="33"/>
      <c r="D586" s="33"/>
    </row>
    <row r="587" spans="2:16" ht="14.1" customHeight="1" x14ac:dyDescent="0.3">
      <c r="B587" s="32"/>
      <c r="C587" s="33"/>
      <c r="D587" s="33"/>
    </row>
    <row r="588" spans="2:16" ht="14.1" customHeight="1" x14ac:dyDescent="0.3">
      <c r="B588" s="32"/>
      <c r="C588" s="33"/>
      <c r="D588" s="33"/>
    </row>
    <row r="592" spans="2:16" ht="14.1" customHeight="1" x14ac:dyDescent="0.3">
      <c r="D592" s="14"/>
      <c r="E592" s="14"/>
      <c r="L592" s="14"/>
      <c r="M592" s="14"/>
    </row>
    <row r="593" spans="4:13" ht="14.1" customHeight="1" x14ac:dyDescent="0.3">
      <c r="D593" s="14"/>
      <c r="E593" s="14"/>
      <c r="L593" s="14"/>
      <c r="M593" s="14"/>
    </row>
    <row r="594" spans="4:13" ht="14.1" customHeight="1" x14ac:dyDescent="0.3">
      <c r="D594" s="14"/>
      <c r="E594" s="14"/>
      <c r="L594" s="14"/>
      <c r="M594" s="14"/>
    </row>
    <row r="595" spans="4:13" ht="14.1" customHeight="1" x14ac:dyDescent="0.3">
      <c r="D595" s="22"/>
      <c r="E595" s="22"/>
      <c r="L595" s="29"/>
      <c r="M595" s="29"/>
    </row>
    <row r="596" spans="4:13" ht="14.1" customHeight="1" x14ac:dyDescent="0.3">
      <c r="D596" s="22"/>
      <c r="E596" s="22"/>
      <c r="L596" s="29"/>
      <c r="M596" s="29"/>
    </row>
    <row r="597" spans="4:13" ht="14.1" customHeight="1" x14ac:dyDescent="0.3">
      <c r="D597" s="22"/>
      <c r="E597" s="22"/>
      <c r="L597" s="29"/>
      <c r="M597" s="29"/>
    </row>
    <row r="598" spans="4:13" ht="14.1" customHeight="1" x14ac:dyDescent="0.3">
      <c r="D598" s="22"/>
      <c r="E598" s="22"/>
      <c r="L598" s="29"/>
      <c r="M598" s="29"/>
    </row>
    <row r="599" spans="4:13" ht="14.1" customHeight="1" x14ac:dyDescent="0.3">
      <c r="D599" s="22"/>
      <c r="E599" s="22"/>
      <c r="L599" s="29"/>
      <c r="M599" s="29"/>
    </row>
    <row r="600" spans="4:13" ht="14.1" customHeight="1" x14ac:dyDescent="0.3">
      <c r="D600" s="22"/>
      <c r="E600" s="22"/>
      <c r="L600" s="29"/>
      <c r="M600" s="29"/>
    </row>
    <row r="601" spans="4:13" ht="14.1" customHeight="1" x14ac:dyDescent="0.3">
      <c r="D601" s="22"/>
      <c r="E601" s="22"/>
      <c r="L601" s="29"/>
      <c r="M601" s="29"/>
    </row>
    <row r="602" spans="4:13" ht="14.1" customHeight="1" x14ac:dyDescent="0.3">
      <c r="D602" s="22"/>
      <c r="E602" s="22"/>
      <c r="L602" s="29"/>
      <c r="M602" s="29"/>
    </row>
    <row r="603" spans="4:13" ht="14.1" customHeight="1" x14ac:dyDescent="0.3">
      <c r="D603" s="22"/>
      <c r="E603" s="22"/>
      <c r="L603" s="29"/>
      <c r="M603" s="29"/>
    </row>
    <row r="604" spans="4:13" ht="14.1" customHeight="1" x14ac:dyDescent="0.3">
      <c r="D604" s="22"/>
      <c r="E604" s="22"/>
      <c r="L604" s="29"/>
      <c r="M604" s="29"/>
    </row>
    <row r="605" spans="4:13" ht="14.1" customHeight="1" x14ac:dyDescent="0.3">
      <c r="D605" s="22"/>
      <c r="E605" s="22"/>
      <c r="L605" s="29"/>
      <c r="M605" s="29"/>
    </row>
    <row r="606" spans="4:13" ht="14.1" customHeight="1" x14ac:dyDescent="0.3">
      <c r="D606" s="22"/>
      <c r="E606" s="22"/>
      <c r="L606" s="29"/>
      <c r="M606" s="29"/>
    </row>
    <row r="607" spans="4:13" ht="14.1" customHeight="1" x14ac:dyDescent="0.3">
      <c r="D607" s="22"/>
      <c r="E607" s="22"/>
      <c r="L607" s="29"/>
      <c r="M607" s="29"/>
    </row>
    <row r="608" spans="4:13" ht="14.1" customHeight="1" x14ac:dyDescent="0.3">
      <c r="D608" s="22"/>
      <c r="E608" s="22"/>
      <c r="L608" s="29"/>
      <c r="M608" s="29"/>
    </row>
    <row r="609" spans="4:13" ht="14.1" customHeight="1" x14ac:dyDescent="0.3">
      <c r="D609" s="22"/>
      <c r="E609" s="22"/>
      <c r="L609" s="29"/>
      <c r="M609" s="29"/>
    </row>
    <row r="610" spans="4:13" ht="14.1" customHeight="1" x14ac:dyDescent="0.3">
      <c r="D610" s="22"/>
      <c r="E610" s="22"/>
    </row>
    <row r="611" spans="4:13" ht="14.1" customHeight="1" x14ac:dyDescent="0.3">
      <c r="D611" s="22"/>
      <c r="E611" s="22"/>
    </row>
    <row r="612" spans="4:13" ht="14.1" customHeight="1" x14ac:dyDescent="0.3">
      <c r="D612" s="22"/>
      <c r="E612" s="22"/>
    </row>
    <row r="613" spans="4:13" ht="14.1" customHeight="1" x14ac:dyDescent="0.3">
      <c r="D613" s="22"/>
      <c r="E613" s="22"/>
    </row>
    <row r="614" spans="4:13" ht="14.1" customHeight="1" x14ac:dyDescent="0.3">
      <c r="D614" s="22"/>
      <c r="E614" s="22"/>
    </row>
    <row r="615" spans="4:13" ht="14.1" customHeight="1" x14ac:dyDescent="0.3"/>
    <row r="616" spans="4:13" ht="14.1" customHeight="1" x14ac:dyDescent="0.3"/>
    <row r="617" spans="4:13" ht="14.1" customHeight="1" x14ac:dyDescent="0.3"/>
    <row r="618" spans="4:13" ht="14.1" customHeight="1" x14ac:dyDescent="0.3"/>
    <row r="619" spans="4:13" ht="14.1" customHeight="1" x14ac:dyDescent="0.3"/>
    <row r="620" spans="4:13" ht="14.1" customHeight="1" x14ac:dyDescent="0.3"/>
    <row r="621" spans="4:13" ht="14.1" customHeight="1" x14ac:dyDescent="0.3"/>
    <row r="622" spans="4:13" ht="14.1" customHeight="1" x14ac:dyDescent="0.3"/>
    <row r="623" spans="4:13" ht="14.1" customHeight="1" x14ac:dyDescent="0.3"/>
    <row r="624" spans="4:13" ht="14.1" customHeight="1" x14ac:dyDescent="0.3"/>
    <row r="625" ht="14.1" customHeight="1" x14ac:dyDescent="0.3"/>
    <row r="626" ht="14.1" customHeight="1" x14ac:dyDescent="0.3"/>
    <row r="627" ht="14.1" customHeight="1" x14ac:dyDescent="0.3"/>
    <row r="628" ht="14.1" customHeight="1" x14ac:dyDescent="0.3"/>
    <row r="629" ht="14.1" customHeight="1" x14ac:dyDescent="0.3"/>
    <row r="630" ht="14.1" customHeight="1" x14ac:dyDescent="0.3"/>
    <row r="631" ht="14.1" customHeight="1" x14ac:dyDescent="0.3"/>
    <row r="632" ht="14.1" customHeight="1" x14ac:dyDescent="0.3"/>
    <row r="633" ht="14.1" customHeight="1" x14ac:dyDescent="0.3"/>
    <row r="634" ht="14.1" customHeight="1" x14ac:dyDescent="0.3"/>
    <row r="635" ht="14.1" customHeight="1" x14ac:dyDescent="0.3"/>
    <row r="636" ht="14.1" customHeight="1" x14ac:dyDescent="0.3"/>
    <row r="637" ht="14.1" customHeight="1" x14ac:dyDescent="0.3"/>
    <row r="638" ht="14.1" customHeight="1" x14ac:dyDescent="0.3"/>
    <row r="639" ht="14.1" customHeight="1" x14ac:dyDescent="0.3"/>
    <row r="640" ht="14.1" customHeight="1" x14ac:dyDescent="0.3"/>
  </sheetData>
  <mergeCells count="735"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94:D194"/>
    <mergeCell ref="B195:D195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64:D64"/>
    <mergeCell ref="B65:D65"/>
    <mergeCell ref="B66:D66"/>
    <mergeCell ref="B67:D67"/>
    <mergeCell ref="B68:D68"/>
    <mergeCell ref="B69:D69"/>
    <mergeCell ref="B70:D70"/>
    <mergeCell ref="B148:D148"/>
    <mergeCell ref="B149:D149"/>
    <mergeCell ref="B108:D108"/>
    <mergeCell ref="B82:D82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86:D86"/>
    <mergeCell ref="B87:D87"/>
    <mergeCell ref="B88:D88"/>
    <mergeCell ref="B89:D89"/>
    <mergeCell ref="B90:D90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1:F1"/>
    <mergeCell ref="B3:E3"/>
    <mergeCell ref="E5:I5"/>
    <mergeCell ref="J5:N5"/>
    <mergeCell ref="O5:S5"/>
    <mergeCell ref="B6:D7"/>
    <mergeCell ref="J6:J7"/>
    <mergeCell ref="O6:O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83:D83"/>
    <mergeCell ref="B84:D84"/>
    <mergeCell ref="B85:D85"/>
    <mergeCell ref="B24:D24"/>
    <mergeCell ref="B25:D25"/>
    <mergeCell ref="B26:D26"/>
    <mergeCell ref="B27:D27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E111:H111"/>
    <mergeCell ref="I111:L111"/>
    <mergeCell ref="M111:P111"/>
    <mergeCell ref="B112:D113"/>
    <mergeCell ref="B114:D114"/>
    <mergeCell ref="B115:D115"/>
    <mergeCell ref="B116:D116"/>
    <mergeCell ref="B117:D117"/>
    <mergeCell ref="B221:D221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27:D127"/>
    <mergeCell ref="B128:D128"/>
    <mergeCell ref="B129:D129"/>
    <mergeCell ref="B130:D130"/>
    <mergeCell ref="B131:D131"/>
    <mergeCell ref="B132:D132"/>
    <mergeCell ref="B118:D118"/>
    <mergeCell ref="B198:D198"/>
    <mergeCell ref="B199:D199"/>
    <mergeCell ref="B200:D200"/>
    <mergeCell ref="B201:D201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41:D141"/>
    <mergeCell ref="B142:D142"/>
    <mergeCell ref="B143:D143"/>
    <mergeCell ref="B144:D144"/>
    <mergeCell ref="B145:D145"/>
    <mergeCell ref="B146:D146"/>
    <mergeCell ref="B147:D147"/>
    <mergeCell ref="B196:D196"/>
    <mergeCell ref="B197:D197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G224:G225"/>
    <mergeCell ref="H224:H225"/>
    <mergeCell ref="I224:I225"/>
    <mergeCell ref="J224:J225"/>
    <mergeCell ref="K224:K225"/>
    <mergeCell ref="L224:N225"/>
    <mergeCell ref="O224:Q225"/>
    <mergeCell ref="B225:D226"/>
    <mergeCell ref="L226:M226"/>
    <mergeCell ref="O226:P226"/>
    <mergeCell ref="E224:E225"/>
    <mergeCell ref="F224:F225"/>
    <mergeCell ref="B227:D227"/>
    <mergeCell ref="L227:M227"/>
    <mergeCell ref="O227:P227"/>
    <mergeCell ref="B228:D228"/>
    <mergeCell ref="L228:M228"/>
    <mergeCell ref="O228:P228"/>
    <mergeCell ref="B229:D229"/>
    <mergeCell ref="L229:M229"/>
    <mergeCell ref="O229:P229"/>
    <mergeCell ref="B230:D230"/>
    <mergeCell ref="L230:M230"/>
    <mergeCell ref="O230:P230"/>
    <mergeCell ref="B231:D231"/>
    <mergeCell ref="L231:M231"/>
    <mergeCell ref="O231:P231"/>
    <mergeCell ref="B232:D232"/>
    <mergeCell ref="L232:M232"/>
    <mergeCell ref="O232:P232"/>
    <mergeCell ref="B233:D233"/>
    <mergeCell ref="L233:M233"/>
    <mergeCell ref="O233:P233"/>
    <mergeCell ref="B234:D234"/>
    <mergeCell ref="L234:M234"/>
    <mergeCell ref="O234:P234"/>
    <mergeCell ref="B235:D235"/>
    <mergeCell ref="L235:M235"/>
    <mergeCell ref="O235:P235"/>
    <mergeCell ref="B236:D236"/>
    <mergeCell ref="L236:M236"/>
    <mergeCell ref="O236:P236"/>
    <mergeCell ref="B237:D237"/>
    <mergeCell ref="L237:M237"/>
    <mergeCell ref="O237:P237"/>
    <mergeCell ref="B238:D238"/>
    <mergeCell ref="L238:M238"/>
    <mergeCell ref="O238:P238"/>
    <mergeCell ref="B239:D239"/>
    <mergeCell ref="L239:M239"/>
    <mergeCell ref="O239:P239"/>
    <mergeCell ref="B240:D240"/>
    <mergeCell ref="L240:M240"/>
    <mergeCell ref="O240:P240"/>
    <mergeCell ref="B241:D241"/>
    <mergeCell ref="L241:M241"/>
    <mergeCell ref="O241:P241"/>
    <mergeCell ref="B242:D242"/>
    <mergeCell ref="L242:M242"/>
    <mergeCell ref="O242:P242"/>
    <mergeCell ref="B243:D243"/>
    <mergeCell ref="L243:M243"/>
    <mergeCell ref="O243:P243"/>
    <mergeCell ref="B244:D244"/>
    <mergeCell ref="L244:M244"/>
    <mergeCell ref="O244:P244"/>
    <mergeCell ref="O245:P245"/>
    <mergeCell ref="B298:D298"/>
    <mergeCell ref="L298:M298"/>
    <mergeCell ref="O298:P298"/>
    <mergeCell ref="E302:K302"/>
    <mergeCell ref="L302:O302"/>
    <mergeCell ref="P302:R302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L255:M255"/>
    <mergeCell ref="L256:M256"/>
    <mergeCell ref="O246:P246"/>
    <mergeCell ref="O247:P247"/>
    <mergeCell ref="L303:M303"/>
    <mergeCell ref="B305:D305"/>
    <mergeCell ref="B306:D306"/>
    <mergeCell ref="B307:D307"/>
    <mergeCell ref="B308:D308"/>
    <mergeCell ref="B309:D309"/>
    <mergeCell ref="B310:D310"/>
    <mergeCell ref="B245:D245"/>
    <mergeCell ref="L245:M245"/>
    <mergeCell ref="E377:J377"/>
    <mergeCell ref="K377:P377"/>
    <mergeCell ref="B378:D379"/>
    <mergeCell ref="H378:I378"/>
    <mergeCell ref="N378:O378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417:D417"/>
    <mergeCell ref="B418:D418"/>
    <mergeCell ref="B419:D419"/>
    <mergeCell ref="B420:D420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463:D463"/>
    <mergeCell ref="B464:D464"/>
    <mergeCell ref="B465:D465"/>
    <mergeCell ref="B466:D466"/>
    <mergeCell ref="B398:D398"/>
    <mergeCell ref="B451:D451"/>
    <mergeCell ref="E455:K455"/>
    <mergeCell ref="L455:R455"/>
    <mergeCell ref="B456:D457"/>
    <mergeCell ref="E456:F456"/>
    <mergeCell ref="I456:J456"/>
    <mergeCell ref="L456:M456"/>
    <mergeCell ref="P456:Q456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E528:G528"/>
    <mergeCell ref="H528:L528"/>
    <mergeCell ref="M528:P528"/>
    <mergeCell ref="B529:D530"/>
    <mergeCell ref="H529:H530"/>
    <mergeCell ref="M529:M530"/>
    <mergeCell ref="B531:D531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584:D584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O248:P248"/>
    <mergeCell ref="O249:P249"/>
    <mergeCell ref="O250:P250"/>
    <mergeCell ref="O251:P251"/>
    <mergeCell ref="O252:P252"/>
    <mergeCell ref="O253:P253"/>
    <mergeCell ref="O254:P254"/>
    <mergeCell ref="O255:P255"/>
    <mergeCell ref="O256:P256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O257:P257"/>
    <mergeCell ref="O258:P258"/>
    <mergeCell ref="O259:P259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B324:D324"/>
    <mergeCell ref="B325:D325"/>
    <mergeCell ref="B326:D326"/>
    <mergeCell ref="B327:D327"/>
    <mergeCell ref="B328:D328"/>
    <mergeCell ref="B329:D329"/>
    <mergeCell ref="B320:D320"/>
    <mergeCell ref="B321:D321"/>
    <mergeCell ref="B322:D322"/>
    <mergeCell ref="B323:D323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03:D304"/>
    <mergeCell ref="F303:G30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99:D399"/>
    <mergeCell ref="B400:D400"/>
    <mergeCell ref="B401:D401"/>
    <mergeCell ref="B402:D402"/>
    <mergeCell ref="B403:D403"/>
    <mergeCell ref="B404:D404"/>
    <mergeCell ref="B405:D405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73:D373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77:D477"/>
    <mergeCell ref="B478:D478"/>
    <mergeCell ref="B479:D479"/>
    <mergeCell ref="B480:D480"/>
    <mergeCell ref="B481:D481"/>
    <mergeCell ref="B482:D482"/>
    <mergeCell ref="B476:D47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58:D458"/>
    <mergeCell ref="B459:D459"/>
    <mergeCell ref="B460:D460"/>
    <mergeCell ref="B461:D461"/>
    <mergeCell ref="B462:D462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40:D540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24:D524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78:D578"/>
    <mergeCell ref="B579:D579"/>
    <mergeCell ref="B580:D580"/>
    <mergeCell ref="B581:D581"/>
    <mergeCell ref="B582:D582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83:D583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574:D574"/>
    <mergeCell ref="B575:D575"/>
    <mergeCell ref="B576:D576"/>
    <mergeCell ref="B577:D577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8"/>
  <sheetViews>
    <sheetView topLeftCell="A43" zoomScale="160" zoomScaleNormal="160" workbookViewId="0">
      <selection activeCell="E49" sqref="E49"/>
    </sheetView>
  </sheetViews>
  <sheetFormatPr defaultColWidth="7.6640625" defaultRowHeight="13.8" x14ac:dyDescent="0.3"/>
  <cols>
    <col min="1" max="1" width="7.6640625" style="34"/>
    <col min="2" max="16384" width="7.6640625" style="12"/>
  </cols>
  <sheetData>
    <row r="1" spans="1:7" ht="14.1" customHeight="1" x14ac:dyDescent="0.3">
      <c r="B1" s="128" t="str">
        <f>'Levantamento Campo'!B1</f>
        <v>Prj Estande de Tiro (50 m) – 5º BIL (Amv)</v>
      </c>
      <c r="C1" s="128"/>
      <c r="D1" s="128"/>
      <c r="E1" s="128"/>
      <c r="F1" s="128"/>
      <c r="G1" s="128"/>
    </row>
    <row r="2" spans="1:7" ht="14.1" customHeight="1" x14ac:dyDescent="0.3">
      <c r="B2" s="13"/>
      <c r="C2" s="13"/>
      <c r="D2" s="13"/>
      <c r="E2" s="13"/>
      <c r="F2" s="13"/>
      <c r="G2" s="13"/>
    </row>
    <row r="3" spans="1:7" ht="14.1" customHeight="1" x14ac:dyDescent="0.3">
      <c r="A3" s="34" t="s">
        <v>55</v>
      </c>
      <c r="B3" s="130" t="s">
        <v>56</v>
      </c>
      <c r="C3" s="130"/>
      <c r="D3" s="130"/>
      <c r="E3" s="13"/>
      <c r="F3" s="13"/>
      <c r="G3" s="13"/>
    </row>
    <row r="4" spans="1:7" ht="14.1" customHeight="1" x14ac:dyDescent="0.3">
      <c r="B4" s="7"/>
      <c r="C4" s="13"/>
      <c r="D4" s="13"/>
      <c r="E4" s="13"/>
      <c r="F4" s="13"/>
      <c r="G4" s="13"/>
    </row>
    <row r="5" spans="1:7" ht="14.1" customHeight="1" x14ac:dyDescent="0.3">
      <c r="A5" s="34" t="s">
        <v>57</v>
      </c>
      <c r="B5" s="130" t="s">
        <v>58</v>
      </c>
      <c r="C5" s="130"/>
      <c r="D5" s="130"/>
      <c r="E5" s="13"/>
      <c r="F5" s="13"/>
      <c r="G5" s="13"/>
    </row>
    <row r="6" spans="1:7" ht="14.1" customHeight="1" x14ac:dyDescent="0.3">
      <c r="B6" s="7"/>
      <c r="C6" s="13"/>
      <c r="D6" s="13"/>
      <c r="E6" s="13"/>
      <c r="F6" s="13"/>
      <c r="G6" s="13"/>
    </row>
    <row r="7" spans="1:7" ht="14.1" customHeight="1" x14ac:dyDescent="0.3">
      <c r="B7" s="10" t="s">
        <v>59</v>
      </c>
      <c r="C7" s="13"/>
      <c r="D7" s="13"/>
      <c r="E7" s="13"/>
      <c r="F7" s="13"/>
      <c r="G7" s="13"/>
    </row>
    <row r="8" spans="1:7" x14ac:dyDescent="0.3">
      <c r="B8" s="9" t="s">
        <v>60</v>
      </c>
    </row>
    <row r="9" spans="1:7" x14ac:dyDescent="0.3">
      <c r="B9" s="35">
        <f>SUM('Levantamento Campo'!G9:G109)</f>
        <v>0</v>
      </c>
    </row>
    <row r="11" spans="1:7" ht="14.1" customHeight="1" x14ac:dyDescent="0.3">
      <c r="A11" s="34" t="s">
        <v>61</v>
      </c>
      <c r="B11" s="142" t="s">
        <v>62</v>
      </c>
      <c r="C11" s="142"/>
      <c r="D11" s="142"/>
      <c r="E11" s="142"/>
    </row>
    <row r="12" spans="1:7" ht="14.1" customHeight="1" x14ac:dyDescent="0.3">
      <c r="B12" s="36"/>
      <c r="C12" s="36"/>
      <c r="D12" s="36"/>
    </row>
    <row r="13" spans="1:7" ht="14.1" customHeight="1" x14ac:dyDescent="0.3">
      <c r="B13" s="36"/>
      <c r="C13" s="36"/>
      <c r="D13" s="36"/>
    </row>
    <row r="14" spans="1:7" ht="14.1" customHeight="1" x14ac:dyDescent="0.3">
      <c r="B14" s="36"/>
      <c r="C14" s="36"/>
      <c r="D14" s="36"/>
    </row>
    <row r="15" spans="1:7" ht="14.1" customHeight="1" x14ac:dyDescent="0.3">
      <c r="B15" s="36"/>
      <c r="C15" s="36"/>
      <c r="D15" s="36"/>
    </row>
    <row r="16" spans="1:7" ht="14.1" customHeight="1" x14ac:dyDescent="0.3">
      <c r="B16" s="36"/>
      <c r="C16" s="36"/>
      <c r="D16" s="36"/>
    </row>
    <row r="17" spans="1:5" ht="14.1" customHeight="1" x14ac:dyDescent="0.3">
      <c r="A17" s="34" t="s">
        <v>63</v>
      </c>
      <c r="B17" s="130" t="s">
        <v>64</v>
      </c>
      <c r="C17" s="130"/>
      <c r="D17" s="130"/>
      <c r="E17" s="130"/>
    </row>
    <row r="18" spans="1:5" ht="14.1" customHeight="1" x14ac:dyDescent="0.3">
      <c r="B18" s="7"/>
      <c r="C18" s="36"/>
      <c r="D18" s="36"/>
    </row>
    <row r="19" spans="1:5" ht="14.1" customHeight="1" x14ac:dyDescent="0.3">
      <c r="B19" s="7"/>
      <c r="C19" s="36"/>
      <c r="D19" s="36"/>
    </row>
    <row r="20" spans="1:5" ht="14.1" customHeight="1" x14ac:dyDescent="0.3">
      <c r="B20" s="7"/>
      <c r="C20" s="36"/>
      <c r="D20" s="36"/>
    </row>
    <row r="21" spans="1:5" ht="14.1" customHeight="1" x14ac:dyDescent="0.3">
      <c r="B21" s="7"/>
      <c r="C21" s="36"/>
      <c r="D21" s="36"/>
    </row>
    <row r="22" spans="1:5" ht="14.1" customHeight="1" x14ac:dyDescent="0.3">
      <c r="B22" s="7"/>
      <c r="C22" s="36"/>
      <c r="D22" s="36"/>
    </row>
    <row r="23" spans="1:5" ht="14.1" customHeight="1" x14ac:dyDescent="0.3">
      <c r="A23" s="34" t="s">
        <v>65</v>
      </c>
      <c r="B23" s="142" t="s">
        <v>66</v>
      </c>
      <c r="C23" s="142"/>
      <c r="D23" s="142"/>
      <c r="E23" s="142"/>
    </row>
    <row r="24" spans="1:5" ht="14.1" customHeight="1" x14ac:dyDescent="0.3">
      <c r="B24" s="7"/>
      <c r="C24" s="36"/>
      <c r="D24" s="36"/>
    </row>
    <row r="25" spans="1:5" ht="14.1" customHeight="1" x14ac:dyDescent="0.3">
      <c r="B25" s="7"/>
      <c r="C25" s="36"/>
      <c r="D25" s="36"/>
    </row>
    <row r="26" spans="1:5" ht="14.1" customHeight="1" x14ac:dyDescent="0.3">
      <c r="B26" s="7"/>
      <c r="C26" s="36"/>
      <c r="D26" s="36"/>
    </row>
    <row r="27" spans="1:5" ht="14.1" customHeight="1" x14ac:dyDescent="0.3">
      <c r="B27" s="7"/>
      <c r="C27" s="36"/>
      <c r="D27" s="36"/>
    </row>
    <row r="28" spans="1:5" ht="14.1" customHeight="1" x14ac:dyDescent="0.3">
      <c r="B28" s="36"/>
      <c r="C28" s="36"/>
      <c r="D28" s="36"/>
    </row>
    <row r="29" spans="1:5" ht="14.1" customHeight="1" x14ac:dyDescent="0.3">
      <c r="A29" s="34" t="s">
        <v>67</v>
      </c>
      <c r="B29" s="130" t="s">
        <v>68</v>
      </c>
      <c r="C29" s="130"/>
      <c r="D29" s="130"/>
      <c r="E29" s="130"/>
    </row>
    <row r="30" spans="1:5" ht="14.1" customHeight="1" x14ac:dyDescent="0.3">
      <c r="B30" s="7"/>
      <c r="C30" s="36"/>
      <c r="D30" s="36"/>
    </row>
    <row r="31" spans="1:5" ht="14.1" customHeight="1" x14ac:dyDescent="0.3">
      <c r="B31" s="7"/>
      <c r="C31" s="36"/>
      <c r="D31" s="36"/>
    </row>
    <row r="32" spans="1:5" ht="14.1" customHeight="1" x14ac:dyDescent="0.3">
      <c r="B32" s="7"/>
      <c r="C32" s="36"/>
      <c r="D32" s="36"/>
    </row>
    <row r="33" spans="1:35" ht="14.1" customHeight="1" x14ac:dyDescent="0.3">
      <c r="B33" s="7"/>
      <c r="C33" s="36"/>
      <c r="D33" s="36"/>
    </row>
    <row r="34" spans="1:35" ht="14.1" customHeight="1" x14ac:dyDescent="0.3">
      <c r="B34" s="7"/>
      <c r="C34" s="36"/>
      <c r="D34" s="36"/>
    </row>
    <row r="35" spans="1:35" ht="14.1" customHeight="1" x14ac:dyDescent="0.3">
      <c r="A35" s="34" t="s">
        <v>69</v>
      </c>
      <c r="B35" s="142" t="s">
        <v>70</v>
      </c>
      <c r="C35" s="142"/>
      <c r="D35" s="142"/>
      <c r="E35" s="142"/>
      <c r="F35" s="142"/>
    </row>
    <row r="36" spans="1:35" ht="14.1" customHeight="1" x14ac:dyDescent="0.3">
      <c r="B36" s="36"/>
      <c r="C36" s="36"/>
      <c r="D36" s="36"/>
    </row>
    <row r="37" spans="1:35" ht="14.1" customHeight="1" x14ac:dyDescent="0.3">
      <c r="B37" s="9" t="s">
        <v>71</v>
      </c>
      <c r="C37" s="116" t="s">
        <v>5</v>
      </c>
      <c r="D37" s="116"/>
      <c r="E37" s="116" t="s">
        <v>72</v>
      </c>
      <c r="F37" s="116"/>
      <c r="G37" s="37" t="s">
        <v>60</v>
      </c>
      <c r="I37" s="15"/>
      <c r="K37" s="15"/>
      <c r="L37" s="15"/>
      <c r="M37" s="15"/>
      <c r="N37" s="38"/>
      <c r="O37" s="38"/>
      <c r="P37" s="38"/>
      <c r="Q37" s="38"/>
    </row>
    <row r="38" spans="1:35" ht="14.1" customHeight="1" x14ac:dyDescent="0.3">
      <c r="B38" s="39"/>
      <c r="C38" s="141"/>
      <c r="D38" s="141"/>
      <c r="E38" s="141"/>
      <c r="F38" s="141"/>
      <c r="G38" s="19"/>
      <c r="I38" s="40"/>
      <c r="K38" s="29"/>
      <c r="L38" s="29"/>
      <c r="M38" s="41"/>
      <c r="N38" s="42"/>
      <c r="O38" s="42"/>
      <c r="P38" s="42"/>
      <c r="Q38" s="42"/>
    </row>
    <row r="39" spans="1:35" ht="14.1" customHeight="1" x14ac:dyDescent="0.3">
      <c r="B39" s="39"/>
      <c r="C39" s="141"/>
      <c r="D39" s="141"/>
      <c r="E39" s="141"/>
      <c r="F39" s="141"/>
      <c r="G39" s="19"/>
      <c r="K39" s="29"/>
      <c r="L39" s="29"/>
      <c r="M39" s="41"/>
      <c r="N39" s="42"/>
      <c r="O39" s="42"/>
      <c r="P39" s="42"/>
      <c r="Q39" s="42"/>
    </row>
    <row r="40" spans="1:35" ht="14.1" customHeight="1" x14ac:dyDescent="0.3">
      <c r="B40" s="39"/>
      <c r="C40" s="141"/>
      <c r="D40" s="141"/>
      <c r="E40" s="141"/>
      <c r="F40" s="141"/>
      <c r="G40" s="19"/>
      <c r="K40" s="29"/>
      <c r="L40" s="29"/>
      <c r="M40" s="41"/>
      <c r="N40" s="42"/>
      <c r="O40" s="42"/>
      <c r="P40" s="42"/>
      <c r="Q40" s="42"/>
    </row>
    <row r="41" spans="1:35" ht="14.1" customHeight="1" x14ac:dyDescent="0.3">
      <c r="B41" s="39"/>
      <c r="C41" s="141"/>
      <c r="D41" s="141"/>
      <c r="E41" s="141"/>
      <c r="F41" s="141"/>
      <c r="G41" s="19"/>
      <c r="K41" s="29"/>
      <c r="L41" s="29"/>
      <c r="M41" s="41"/>
      <c r="N41" s="42"/>
      <c r="O41" s="42"/>
      <c r="P41" s="42"/>
      <c r="Q41" s="42"/>
    </row>
    <row r="42" spans="1:35" ht="14.1" customHeight="1" x14ac:dyDescent="0.3">
      <c r="B42" s="8"/>
      <c r="C42" s="8"/>
      <c r="D42" s="8"/>
      <c r="E42" s="8"/>
      <c r="F42" s="8" t="s">
        <v>29</v>
      </c>
      <c r="G42" s="35">
        <f>SUM(G38:G41)</f>
        <v>0</v>
      </c>
      <c r="I42" s="40"/>
      <c r="K42" s="29"/>
      <c r="L42" s="29"/>
      <c r="M42" s="41"/>
      <c r="N42" s="42"/>
      <c r="O42" s="42"/>
      <c r="P42" s="42"/>
      <c r="Q42" s="42"/>
    </row>
    <row r="43" spans="1:35" ht="14.1" customHeight="1" x14ac:dyDescent="0.3">
      <c r="K43" s="29"/>
      <c r="L43" s="29"/>
      <c r="M43" s="41"/>
      <c r="N43" s="42"/>
      <c r="O43" s="42"/>
      <c r="P43" s="42"/>
      <c r="Q43" s="42"/>
    </row>
    <row r="44" spans="1:35" ht="14.1" customHeight="1" x14ac:dyDescent="0.3">
      <c r="A44" s="34" t="s">
        <v>73</v>
      </c>
      <c r="B44" s="130" t="s">
        <v>74</v>
      </c>
      <c r="C44" s="130"/>
      <c r="D44" s="130"/>
      <c r="E44" s="130"/>
      <c r="F44" s="130"/>
      <c r="K44" s="29"/>
      <c r="L44" s="29"/>
      <c r="M44" s="41"/>
      <c r="N44" s="42"/>
      <c r="O44" s="42"/>
      <c r="P44" s="42"/>
      <c r="Q44" s="42"/>
      <c r="AG44" s="43" t="s">
        <v>75</v>
      </c>
      <c r="AH44" s="44"/>
      <c r="AI44" s="44"/>
    </row>
    <row r="45" spans="1:35" ht="14.1" customHeight="1" x14ac:dyDescent="0.3">
      <c r="B45" s="7"/>
      <c r="K45" s="29"/>
      <c r="L45" s="29"/>
      <c r="M45" s="41"/>
      <c r="N45" s="42"/>
      <c r="O45" s="42"/>
      <c r="P45" s="42"/>
      <c r="Q45" s="42"/>
      <c r="AG45" s="45"/>
      <c r="AH45" s="45"/>
      <c r="AI45" s="45"/>
    </row>
    <row r="46" spans="1:35" ht="14.1" customHeight="1" x14ac:dyDescent="0.3">
      <c r="B46" s="7"/>
      <c r="E46" s="140" t="s">
        <v>76</v>
      </c>
      <c r="F46" s="140"/>
      <c r="G46" s="140"/>
      <c r="H46" s="140"/>
      <c r="I46" s="140"/>
      <c r="J46" s="140"/>
      <c r="K46" s="140"/>
      <c r="L46" s="140"/>
      <c r="M46" s="140"/>
      <c r="N46" s="140"/>
      <c r="O46" s="140" t="s">
        <v>77</v>
      </c>
      <c r="P46" s="140"/>
      <c r="Q46" s="140"/>
      <c r="R46" s="140"/>
      <c r="S46" s="140"/>
      <c r="T46" s="140"/>
      <c r="U46" s="140"/>
      <c r="V46" s="140"/>
      <c r="W46" s="140"/>
      <c r="X46" s="136" t="s">
        <v>78</v>
      </c>
      <c r="Y46" s="136"/>
      <c r="Z46" s="133" t="s">
        <v>51</v>
      </c>
      <c r="AA46" s="133"/>
      <c r="AB46" s="133"/>
      <c r="AC46" s="133" t="s">
        <v>79</v>
      </c>
      <c r="AD46" s="133"/>
      <c r="AE46" s="133"/>
      <c r="AG46" s="133" t="s">
        <v>79</v>
      </c>
      <c r="AH46" s="133"/>
      <c r="AI46" s="133"/>
    </row>
    <row r="47" spans="1:35" ht="14.1" customHeight="1" x14ac:dyDescent="0.3">
      <c r="B47" s="136" t="s">
        <v>5</v>
      </c>
      <c r="C47" s="136"/>
      <c r="D47" s="136"/>
      <c r="E47" s="47" t="s">
        <v>44</v>
      </c>
      <c r="F47" s="47" t="s">
        <v>21</v>
      </c>
      <c r="G47" s="47" t="s">
        <v>22</v>
      </c>
      <c r="H47" s="47" t="s">
        <v>80</v>
      </c>
      <c r="I47" s="47" t="s">
        <v>24</v>
      </c>
      <c r="J47" s="23" t="s">
        <v>25</v>
      </c>
      <c r="K47" s="48" t="s">
        <v>45</v>
      </c>
      <c r="L47" s="23" t="s">
        <v>46</v>
      </c>
      <c r="M47" s="48" t="s">
        <v>19</v>
      </c>
      <c r="N47" s="48" t="s">
        <v>81</v>
      </c>
      <c r="O47" s="47" t="s">
        <v>33</v>
      </c>
      <c r="P47" s="47" t="s">
        <v>82</v>
      </c>
      <c r="Q47" s="23" t="s">
        <v>35</v>
      </c>
      <c r="R47" s="23" t="s">
        <v>36</v>
      </c>
      <c r="S47" s="23" t="s">
        <v>37</v>
      </c>
      <c r="T47" s="23" t="s">
        <v>24</v>
      </c>
      <c r="U47" s="48" t="s">
        <v>38</v>
      </c>
      <c r="V47" s="48" t="s">
        <v>39</v>
      </c>
      <c r="W47" s="48" t="s">
        <v>40</v>
      </c>
      <c r="X47" s="48" t="s">
        <v>83</v>
      </c>
      <c r="Y47" s="49" t="s">
        <v>84</v>
      </c>
      <c r="Z47" s="23" t="s">
        <v>85</v>
      </c>
      <c r="AA47" s="23" t="s">
        <v>86</v>
      </c>
      <c r="AB47" s="23" t="s">
        <v>87</v>
      </c>
      <c r="AC47" s="116" t="s">
        <v>88</v>
      </c>
      <c r="AD47" s="116"/>
      <c r="AE47" s="46" t="s">
        <v>89</v>
      </c>
      <c r="AG47" s="116" t="s">
        <v>88</v>
      </c>
      <c r="AH47" s="116"/>
      <c r="AI47" s="46" t="s">
        <v>89</v>
      </c>
    </row>
    <row r="48" spans="1:35" ht="14.1" customHeight="1" x14ac:dyDescent="0.3">
      <c r="B48" s="136"/>
      <c r="C48" s="136"/>
      <c r="D48" s="136"/>
      <c r="E48" s="18" t="s">
        <v>13</v>
      </c>
      <c r="F48" s="18" t="s">
        <v>28</v>
      </c>
      <c r="G48" s="18" t="s">
        <v>28</v>
      </c>
      <c r="H48" s="18" t="s">
        <v>28</v>
      </c>
      <c r="I48" s="18" t="s">
        <v>13</v>
      </c>
      <c r="J48" s="18" t="s">
        <v>13</v>
      </c>
      <c r="K48" s="18" t="s">
        <v>13</v>
      </c>
      <c r="L48" s="18" t="s">
        <v>13</v>
      </c>
      <c r="M48" s="18" t="s">
        <v>28</v>
      </c>
      <c r="N48" s="18" t="s">
        <v>28</v>
      </c>
      <c r="O48" s="18" t="s">
        <v>28</v>
      </c>
      <c r="P48" s="18" t="s">
        <v>28</v>
      </c>
      <c r="Q48" s="18" t="s">
        <v>28</v>
      </c>
      <c r="R48" s="18" t="s">
        <v>28</v>
      </c>
      <c r="S48" s="18" t="s">
        <v>28</v>
      </c>
      <c r="T48" s="18" t="s">
        <v>13</v>
      </c>
      <c r="U48" s="18" t="s">
        <v>13</v>
      </c>
      <c r="V48" s="18" t="s">
        <v>28</v>
      </c>
      <c r="W48" s="18" t="s">
        <v>28</v>
      </c>
      <c r="X48" s="18" t="s">
        <v>14</v>
      </c>
      <c r="Y48" s="18" t="s">
        <v>14</v>
      </c>
      <c r="Z48" s="18" t="s">
        <v>14</v>
      </c>
      <c r="AA48" s="18" t="s">
        <v>14</v>
      </c>
      <c r="AB48" s="18" t="s">
        <v>28</v>
      </c>
      <c r="AC48" s="116"/>
      <c r="AD48" s="116"/>
      <c r="AE48" s="18" t="s">
        <v>28</v>
      </c>
      <c r="AG48" s="116"/>
      <c r="AH48" s="116"/>
      <c r="AI48" s="18" t="s">
        <v>28</v>
      </c>
    </row>
    <row r="49" spans="2:35" ht="14.1" customHeight="1" x14ac:dyDescent="0.3">
      <c r="B49" s="131">
        <f>'Levantamento Campo'!B8</f>
        <v>0</v>
      </c>
      <c r="C49" s="131"/>
      <c r="D49" s="131"/>
      <c r="E49" s="18"/>
      <c r="F49" s="18"/>
      <c r="G49" s="50"/>
      <c r="H49" s="18"/>
      <c r="I49" s="18"/>
      <c r="J49" s="51"/>
      <c r="K49" s="51"/>
      <c r="L49" s="51"/>
      <c r="M49" s="51"/>
      <c r="N49" s="51"/>
      <c r="O49" s="18"/>
      <c r="P49" s="18"/>
      <c r="Q49" s="50"/>
      <c r="R49" s="18"/>
      <c r="S49" s="18"/>
      <c r="T49" s="51"/>
      <c r="U49" s="51"/>
      <c r="V49" s="51"/>
      <c r="W49" s="51"/>
      <c r="X49" s="51"/>
      <c r="Y49" s="51"/>
      <c r="Z49" s="18"/>
      <c r="AA49" s="18"/>
      <c r="AB49" s="18"/>
      <c r="AC49" s="135"/>
      <c r="AD49" s="135"/>
      <c r="AE49" s="51"/>
      <c r="AG49" s="135"/>
      <c r="AH49" s="135"/>
      <c r="AI49" s="51"/>
    </row>
    <row r="50" spans="2:35" ht="14.1" customHeight="1" x14ac:dyDescent="0.3">
      <c r="B50" s="131">
        <f>'Levantamento Campo'!B9</f>
        <v>0</v>
      </c>
      <c r="C50" s="131"/>
      <c r="D50" s="131"/>
      <c r="E50" s="52"/>
      <c r="F50" s="52"/>
      <c r="G50" s="52"/>
      <c r="H50" s="52"/>
      <c r="I50" s="52"/>
      <c r="J50" s="10"/>
      <c r="K50" s="51"/>
      <c r="L50" s="51"/>
      <c r="M50" s="51"/>
      <c r="N50" s="51"/>
      <c r="O50" s="52"/>
      <c r="P50" s="52"/>
      <c r="Q50" s="52"/>
      <c r="R50" s="52"/>
      <c r="S50" s="52"/>
      <c r="T50" s="10"/>
      <c r="U50" s="51"/>
      <c r="V50" s="51"/>
      <c r="W50" s="51"/>
      <c r="X50" s="51"/>
      <c r="Y50" s="51"/>
      <c r="Z50" s="9"/>
      <c r="AA50" s="9"/>
      <c r="AB50" s="9"/>
      <c r="AC50" s="116"/>
      <c r="AD50" s="116"/>
      <c r="AE50" s="51"/>
      <c r="AG50" s="116"/>
      <c r="AH50" s="116"/>
      <c r="AI50" s="51"/>
    </row>
    <row r="51" spans="2:35" ht="14.1" customHeight="1" x14ac:dyDescent="0.3">
      <c r="B51" s="131">
        <f>'Levantamento Campo'!B10</f>
        <v>0</v>
      </c>
      <c r="C51" s="131"/>
      <c r="D51" s="131"/>
      <c r="E51" s="18"/>
      <c r="F51" s="18"/>
      <c r="G51" s="50"/>
      <c r="H51" s="18"/>
      <c r="I51" s="18"/>
      <c r="J51" s="51"/>
      <c r="K51" s="51"/>
      <c r="L51" s="51"/>
      <c r="M51" s="51"/>
      <c r="N51" s="51"/>
      <c r="O51" s="18"/>
      <c r="P51" s="18"/>
      <c r="Q51" s="50"/>
      <c r="R51" s="18"/>
      <c r="S51" s="18"/>
      <c r="T51" s="51"/>
      <c r="U51" s="51"/>
      <c r="V51" s="51"/>
      <c r="W51" s="51"/>
      <c r="X51" s="51"/>
      <c r="Y51" s="51"/>
      <c r="Z51" s="18"/>
      <c r="AA51" s="18"/>
      <c r="AB51" s="18"/>
      <c r="AC51" s="135"/>
      <c r="AD51" s="135"/>
      <c r="AE51" s="51"/>
      <c r="AG51" s="135"/>
      <c r="AH51" s="135"/>
      <c r="AI51" s="51"/>
    </row>
    <row r="52" spans="2:35" ht="14.1" customHeight="1" x14ac:dyDescent="0.3">
      <c r="B52" s="131">
        <f>'Levantamento Campo'!B11</f>
        <v>0</v>
      </c>
      <c r="C52" s="131"/>
      <c r="D52" s="131"/>
      <c r="E52" s="18"/>
      <c r="F52" s="18"/>
      <c r="G52" s="50"/>
      <c r="H52" s="18"/>
      <c r="I52" s="18"/>
      <c r="J52" s="51"/>
      <c r="K52" s="51"/>
      <c r="L52" s="51"/>
      <c r="M52" s="51"/>
      <c r="N52" s="51"/>
      <c r="O52" s="18"/>
      <c r="P52" s="18"/>
      <c r="Q52" s="50"/>
      <c r="R52" s="18"/>
      <c r="S52" s="18"/>
      <c r="T52" s="51"/>
      <c r="U52" s="51"/>
      <c r="V52" s="51"/>
      <c r="W52" s="51"/>
      <c r="X52" s="51"/>
      <c r="Y52" s="51"/>
      <c r="Z52" s="18"/>
      <c r="AA52" s="18"/>
      <c r="AB52" s="18"/>
      <c r="AC52" s="135"/>
      <c r="AD52" s="135"/>
      <c r="AE52" s="51"/>
      <c r="AG52" s="135"/>
      <c r="AH52" s="135"/>
      <c r="AI52" s="51"/>
    </row>
    <row r="53" spans="2:35" ht="14.1" customHeight="1" x14ac:dyDescent="0.3">
      <c r="B53" s="131">
        <f>'Levantamento Campo'!B12</f>
        <v>0</v>
      </c>
      <c r="C53" s="131"/>
      <c r="D53" s="131"/>
      <c r="E53" s="18"/>
      <c r="F53" s="18"/>
      <c r="G53" s="50"/>
      <c r="H53" s="51"/>
      <c r="I53" s="51"/>
      <c r="J53" s="51"/>
      <c r="K53" s="51"/>
      <c r="L53" s="51"/>
      <c r="M53" s="51"/>
      <c r="N53" s="51"/>
      <c r="O53" s="18"/>
      <c r="P53" s="18"/>
      <c r="Q53" s="50"/>
      <c r="R53" s="18"/>
      <c r="S53" s="18"/>
      <c r="T53" s="51"/>
      <c r="U53" s="51"/>
      <c r="V53" s="51"/>
      <c r="W53" s="51"/>
      <c r="X53" s="51"/>
      <c r="Y53" s="51"/>
      <c r="Z53" s="18"/>
      <c r="AA53" s="18"/>
      <c r="AB53" s="18"/>
      <c r="AC53" s="135"/>
      <c r="AD53" s="135"/>
      <c r="AE53" s="51"/>
      <c r="AG53" s="139"/>
      <c r="AH53" s="139"/>
      <c r="AI53" s="51"/>
    </row>
    <row r="54" spans="2:35" ht="14.1" customHeight="1" x14ac:dyDescent="0.3">
      <c r="B54" s="131">
        <f>'Levantamento Campo'!B13</f>
        <v>0</v>
      </c>
      <c r="C54" s="131"/>
      <c r="D54" s="131"/>
      <c r="E54" s="18"/>
      <c r="F54" s="18"/>
      <c r="G54" s="50"/>
      <c r="H54" s="51"/>
      <c r="I54" s="51"/>
      <c r="J54" s="51"/>
      <c r="K54" s="51"/>
      <c r="L54" s="51"/>
      <c r="M54" s="51"/>
      <c r="N54" s="51"/>
      <c r="O54" s="18"/>
      <c r="P54" s="18"/>
      <c r="Q54" s="50"/>
      <c r="R54" s="18"/>
      <c r="S54" s="18"/>
      <c r="T54" s="51"/>
      <c r="U54" s="51"/>
      <c r="V54" s="51"/>
      <c r="W54" s="51"/>
      <c r="X54" s="51"/>
      <c r="Y54" s="51"/>
      <c r="Z54" s="18"/>
      <c r="AA54" s="18"/>
      <c r="AB54" s="18"/>
      <c r="AC54" s="135"/>
      <c r="AD54" s="135"/>
      <c r="AE54" s="51"/>
      <c r="AG54" s="139"/>
      <c r="AH54" s="139"/>
      <c r="AI54" s="51"/>
    </row>
    <row r="55" spans="2:35" ht="14.1" customHeight="1" x14ac:dyDescent="0.3">
      <c r="B55" s="131">
        <f>'Levantamento Campo'!B14</f>
        <v>0</v>
      </c>
      <c r="C55" s="131"/>
      <c r="D55" s="131"/>
      <c r="E55" s="18"/>
      <c r="F55" s="18"/>
      <c r="G55" s="50"/>
      <c r="H55" s="51"/>
      <c r="I55" s="51"/>
      <c r="J55" s="51"/>
      <c r="K55" s="51"/>
      <c r="L55" s="51"/>
      <c r="M55" s="51"/>
      <c r="N55" s="51"/>
      <c r="O55" s="18"/>
      <c r="P55" s="18"/>
      <c r="Q55" s="50"/>
      <c r="R55" s="18"/>
      <c r="S55" s="18"/>
      <c r="T55" s="51"/>
      <c r="U55" s="51"/>
      <c r="V55" s="51"/>
      <c r="W55" s="51"/>
      <c r="X55" s="51"/>
      <c r="Y55" s="51"/>
      <c r="Z55" s="18"/>
      <c r="AA55" s="18"/>
      <c r="AB55" s="18"/>
      <c r="AC55" s="135"/>
      <c r="AD55" s="135"/>
      <c r="AE55" s="51"/>
      <c r="AG55" s="139"/>
      <c r="AH55" s="139"/>
      <c r="AI55" s="51"/>
    </row>
    <row r="56" spans="2:35" ht="14.1" customHeight="1" x14ac:dyDescent="0.3">
      <c r="B56" s="131">
        <f>'Levantamento Campo'!B15</f>
        <v>0</v>
      </c>
      <c r="C56" s="131"/>
      <c r="D56" s="131"/>
      <c r="E56" s="18"/>
      <c r="F56" s="18"/>
      <c r="G56" s="50"/>
      <c r="H56" s="51"/>
      <c r="I56" s="51"/>
      <c r="J56" s="51"/>
      <c r="K56" s="51"/>
      <c r="L56" s="51"/>
      <c r="M56" s="51"/>
      <c r="N56" s="51"/>
      <c r="O56" s="18"/>
      <c r="P56" s="18"/>
      <c r="Q56" s="50"/>
      <c r="R56" s="18"/>
      <c r="S56" s="18"/>
      <c r="T56" s="51"/>
      <c r="U56" s="51"/>
      <c r="V56" s="51"/>
      <c r="W56" s="51"/>
      <c r="X56" s="51"/>
      <c r="Y56" s="51"/>
      <c r="Z56" s="18"/>
      <c r="AA56" s="18"/>
      <c r="AB56" s="18"/>
      <c r="AC56" s="135"/>
      <c r="AD56" s="135"/>
      <c r="AE56" s="51"/>
      <c r="AG56" s="139"/>
      <c r="AH56" s="139"/>
      <c r="AI56" s="51"/>
    </row>
    <row r="57" spans="2:35" ht="14.1" customHeight="1" x14ac:dyDescent="0.3">
      <c r="B57" s="131">
        <f>'Levantamento Campo'!B16</f>
        <v>0</v>
      </c>
      <c r="C57" s="131"/>
      <c r="D57" s="131"/>
      <c r="E57" s="18"/>
      <c r="F57" s="18"/>
      <c r="G57" s="50"/>
      <c r="H57" s="51"/>
      <c r="I57" s="51"/>
      <c r="J57" s="51"/>
      <c r="K57" s="51"/>
      <c r="L57" s="51"/>
      <c r="M57" s="51"/>
      <c r="N57" s="51"/>
      <c r="O57" s="18"/>
      <c r="P57" s="18"/>
      <c r="Q57" s="50"/>
      <c r="R57" s="18"/>
      <c r="S57" s="18"/>
      <c r="T57" s="51"/>
      <c r="U57" s="51"/>
      <c r="V57" s="51"/>
      <c r="W57" s="51"/>
      <c r="X57" s="51"/>
      <c r="Y57" s="51"/>
      <c r="Z57" s="18"/>
      <c r="AA57" s="18"/>
      <c r="AB57" s="18"/>
      <c r="AC57" s="135"/>
      <c r="AD57" s="135"/>
      <c r="AE57" s="51"/>
      <c r="AG57" s="139"/>
      <c r="AH57" s="139"/>
      <c r="AI57" s="51"/>
    </row>
    <row r="58" spans="2:35" ht="14.1" customHeight="1" x14ac:dyDescent="0.3">
      <c r="B58" s="131">
        <f>'Levantamento Campo'!B17</f>
        <v>0</v>
      </c>
      <c r="C58" s="131"/>
      <c r="D58" s="131"/>
      <c r="E58" s="18"/>
      <c r="F58" s="18"/>
      <c r="G58" s="50"/>
      <c r="H58" s="51"/>
      <c r="I58" s="51"/>
      <c r="J58" s="51"/>
      <c r="K58" s="51"/>
      <c r="L58" s="51"/>
      <c r="M58" s="51"/>
      <c r="N58" s="51"/>
      <c r="O58" s="18"/>
      <c r="P58" s="18"/>
      <c r="Q58" s="50"/>
      <c r="R58" s="18"/>
      <c r="S58" s="18"/>
      <c r="T58" s="51"/>
      <c r="U58" s="51"/>
      <c r="V58" s="51"/>
      <c r="W58" s="51"/>
      <c r="X58" s="51"/>
      <c r="Y58" s="51"/>
      <c r="Z58" s="18"/>
      <c r="AA58" s="18"/>
      <c r="AB58" s="18"/>
      <c r="AC58" s="135"/>
      <c r="AD58" s="135"/>
      <c r="AE58" s="51"/>
      <c r="AG58" s="139"/>
      <c r="AH58" s="139"/>
      <c r="AI58" s="51"/>
    </row>
    <row r="59" spans="2:35" ht="14.1" customHeight="1" x14ac:dyDescent="0.3">
      <c r="B59" s="131">
        <f>'Levantamento Campo'!B18</f>
        <v>0</v>
      </c>
      <c r="C59" s="131"/>
      <c r="D59" s="131"/>
      <c r="E59" s="18"/>
      <c r="F59" s="18"/>
      <c r="G59" s="50"/>
      <c r="H59" s="18"/>
      <c r="I59" s="18"/>
      <c r="J59" s="51"/>
      <c r="K59" s="51"/>
      <c r="L59" s="51"/>
      <c r="M59" s="51"/>
      <c r="N59" s="51"/>
      <c r="O59" s="18"/>
      <c r="P59" s="18"/>
      <c r="Q59" s="50"/>
      <c r="R59" s="18"/>
      <c r="S59" s="18"/>
      <c r="T59" s="51"/>
      <c r="U59" s="51"/>
      <c r="V59" s="51"/>
      <c r="W59" s="51"/>
      <c r="X59" s="51"/>
      <c r="Y59" s="51"/>
      <c r="Z59" s="18"/>
      <c r="AA59" s="18"/>
      <c r="AB59" s="18"/>
      <c r="AC59" s="135"/>
      <c r="AD59" s="135"/>
      <c r="AE59" s="51"/>
      <c r="AG59" s="135"/>
      <c r="AH59" s="135"/>
      <c r="AI59" s="51"/>
    </row>
    <row r="60" spans="2:35" ht="14.1" customHeight="1" x14ac:dyDescent="0.3">
      <c r="B60" s="131">
        <f>'Levantamento Campo'!B19</f>
        <v>0</v>
      </c>
      <c r="C60" s="131"/>
      <c r="D60" s="131"/>
      <c r="E60" s="18"/>
      <c r="F60" s="18"/>
      <c r="G60" s="50"/>
      <c r="H60" s="18"/>
      <c r="I60" s="18"/>
      <c r="J60" s="51"/>
      <c r="K60" s="51"/>
      <c r="L60" s="51"/>
      <c r="M60" s="51"/>
      <c r="N60" s="51"/>
      <c r="O60" s="18"/>
      <c r="P60" s="18"/>
      <c r="Q60" s="50"/>
      <c r="R60" s="18"/>
      <c r="S60" s="18"/>
      <c r="T60" s="51"/>
      <c r="U60" s="51"/>
      <c r="V60" s="51"/>
      <c r="W60" s="51"/>
      <c r="X60" s="51"/>
      <c r="Y60" s="51"/>
      <c r="Z60" s="18"/>
      <c r="AA60" s="18"/>
      <c r="AB60" s="18"/>
      <c r="AC60" s="135"/>
      <c r="AD60" s="135"/>
      <c r="AE60" s="51"/>
      <c r="AG60" s="135"/>
      <c r="AH60" s="135"/>
      <c r="AI60" s="51"/>
    </row>
    <row r="61" spans="2:35" ht="14.1" customHeight="1" x14ac:dyDescent="0.3">
      <c r="B61" s="131">
        <f>'Levantamento Campo'!B20</f>
        <v>0</v>
      </c>
      <c r="C61" s="131"/>
      <c r="D61" s="131"/>
      <c r="E61" s="18"/>
      <c r="F61" s="18"/>
      <c r="G61" s="50"/>
      <c r="H61" s="18"/>
      <c r="I61" s="18"/>
      <c r="J61" s="51"/>
      <c r="K61" s="51"/>
      <c r="L61" s="51"/>
      <c r="M61" s="51"/>
      <c r="N61" s="51"/>
      <c r="O61" s="18"/>
      <c r="P61" s="18"/>
      <c r="Q61" s="50"/>
      <c r="R61" s="18"/>
      <c r="S61" s="18"/>
      <c r="T61" s="51"/>
      <c r="U61" s="51"/>
      <c r="V61" s="51"/>
      <c r="W61" s="51"/>
      <c r="X61" s="51"/>
      <c r="Y61" s="51"/>
      <c r="Z61" s="18"/>
      <c r="AA61" s="18"/>
      <c r="AB61" s="18"/>
      <c r="AC61" s="135"/>
      <c r="AD61" s="135"/>
      <c r="AE61" s="51"/>
      <c r="AG61" s="135"/>
      <c r="AH61" s="135"/>
      <c r="AI61" s="51"/>
    </row>
    <row r="62" spans="2:35" ht="14.1" customHeight="1" x14ac:dyDescent="0.3">
      <c r="B62" s="131">
        <f>'Levantamento Campo'!B21</f>
        <v>0</v>
      </c>
      <c r="C62" s="131"/>
      <c r="D62" s="131"/>
      <c r="E62" s="18"/>
      <c r="F62" s="18"/>
      <c r="G62" s="50"/>
      <c r="H62" s="18"/>
      <c r="I62" s="18"/>
      <c r="J62" s="51"/>
      <c r="K62" s="51"/>
      <c r="L62" s="51"/>
      <c r="M62" s="51"/>
      <c r="N62" s="51"/>
      <c r="O62" s="18"/>
      <c r="P62" s="18"/>
      <c r="Q62" s="50"/>
      <c r="R62" s="18"/>
      <c r="S62" s="18"/>
      <c r="T62" s="51"/>
      <c r="U62" s="51"/>
      <c r="V62" s="51"/>
      <c r="W62" s="51"/>
      <c r="X62" s="51"/>
      <c r="Y62" s="51"/>
      <c r="Z62" s="18"/>
      <c r="AA62" s="18"/>
      <c r="AB62" s="18"/>
      <c r="AC62" s="135"/>
      <c r="AD62" s="135"/>
      <c r="AE62" s="51"/>
      <c r="AG62" s="135"/>
      <c r="AH62" s="135"/>
      <c r="AI62" s="51"/>
    </row>
    <row r="63" spans="2:35" ht="14.1" customHeight="1" x14ac:dyDescent="0.3">
      <c r="B63" s="131">
        <f>'Levantamento Campo'!B22</f>
        <v>0</v>
      </c>
      <c r="C63" s="131"/>
      <c r="D63" s="131"/>
      <c r="E63" s="18"/>
      <c r="F63" s="18"/>
      <c r="G63" s="50"/>
      <c r="H63" s="18"/>
      <c r="I63" s="18"/>
      <c r="J63" s="51"/>
      <c r="K63" s="51"/>
      <c r="L63" s="51"/>
      <c r="M63" s="51"/>
      <c r="N63" s="51"/>
      <c r="O63" s="18"/>
      <c r="P63" s="18"/>
      <c r="Q63" s="50"/>
      <c r="R63" s="18"/>
      <c r="S63" s="18"/>
      <c r="T63" s="51"/>
      <c r="U63" s="51"/>
      <c r="V63" s="51"/>
      <c r="W63" s="51"/>
      <c r="X63" s="51"/>
      <c r="Y63" s="51"/>
      <c r="Z63" s="18"/>
      <c r="AA63" s="18"/>
      <c r="AB63" s="18"/>
      <c r="AC63" s="135"/>
      <c r="AD63" s="135"/>
      <c r="AE63" s="51"/>
      <c r="AG63" s="135"/>
      <c r="AH63" s="135"/>
      <c r="AI63" s="51"/>
    </row>
    <row r="64" spans="2:35" ht="14.1" customHeight="1" x14ac:dyDescent="0.3">
      <c r="B64" s="131">
        <f>'Levantamento Campo'!B23</f>
        <v>0</v>
      </c>
      <c r="C64" s="131"/>
      <c r="D64" s="131"/>
      <c r="E64" s="18"/>
      <c r="F64" s="18"/>
      <c r="G64" s="50"/>
      <c r="H64" s="18"/>
      <c r="I64" s="18"/>
      <c r="J64" s="51"/>
      <c r="K64" s="51"/>
      <c r="L64" s="51"/>
      <c r="M64" s="51"/>
      <c r="N64" s="51"/>
      <c r="O64" s="18"/>
      <c r="P64" s="18"/>
      <c r="Q64" s="50"/>
      <c r="R64" s="18"/>
      <c r="S64" s="18"/>
      <c r="T64" s="51"/>
      <c r="U64" s="51"/>
      <c r="V64" s="51"/>
      <c r="W64" s="51"/>
      <c r="X64" s="51"/>
      <c r="Y64" s="51"/>
      <c r="Z64" s="18"/>
      <c r="AA64" s="18"/>
      <c r="AB64" s="18"/>
      <c r="AC64" s="135"/>
      <c r="AD64" s="135"/>
      <c r="AE64" s="51"/>
      <c r="AG64" s="135"/>
      <c r="AH64" s="135"/>
      <c r="AI64" s="51"/>
    </row>
    <row r="65" spans="1:35" ht="14.1" customHeight="1" x14ac:dyDescent="0.3">
      <c r="B65" s="131">
        <f>'Levantamento Campo'!B83</f>
        <v>0</v>
      </c>
      <c r="C65" s="131"/>
      <c r="D65" s="131"/>
      <c r="E65" s="18"/>
      <c r="F65" s="18"/>
      <c r="G65" s="50"/>
      <c r="H65" s="18"/>
      <c r="I65" s="18"/>
      <c r="J65" s="51"/>
      <c r="K65" s="51"/>
      <c r="L65" s="51"/>
      <c r="M65" s="51"/>
      <c r="N65" s="51"/>
      <c r="O65" s="18"/>
      <c r="P65" s="18"/>
      <c r="Q65" s="50"/>
      <c r="R65" s="18"/>
      <c r="S65" s="18"/>
      <c r="T65" s="51"/>
      <c r="U65" s="51"/>
      <c r="V65" s="51"/>
      <c r="W65" s="51"/>
      <c r="X65" s="51"/>
      <c r="Y65" s="51"/>
      <c r="Z65" s="18"/>
      <c r="AA65" s="18"/>
      <c r="AB65" s="18"/>
      <c r="AC65" s="135"/>
      <c r="AD65" s="135"/>
      <c r="AE65" s="51"/>
      <c r="AG65" s="135"/>
      <c r="AH65" s="135"/>
      <c r="AI65" s="51"/>
    </row>
    <row r="66" spans="1:35" ht="14.1" customHeight="1" x14ac:dyDescent="0.3">
      <c r="B66" s="131">
        <f>'Levantamento Campo'!B84</f>
        <v>0</v>
      </c>
      <c r="C66" s="131"/>
      <c r="D66" s="131"/>
      <c r="E66" s="18"/>
      <c r="F66" s="18"/>
      <c r="G66" s="50"/>
      <c r="H66" s="18"/>
      <c r="I66" s="18"/>
      <c r="J66" s="51"/>
      <c r="K66" s="51"/>
      <c r="L66" s="51"/>
      <c r="M66" s="51"/>
      <c r="N66" s="51"/>
      <c r="O66" s="18"/>
      <c r="P66" s="18"/>
      <c r="Q66" s="50"/>
      <c r="R66" s="18"/>
      <c r="S66" s="18"/>
      <c r="T66" s="51"/>
      <c r="U66" s="51"/>
      <c r="V66" s="51"/>
      <c r="W66" s="51"/>
      <c r="X66" s="51"/>
      <c r="Y66" s="51"/>
      <c r="Z66" s="18"/>
      <c r="AA66" s="18"/>
      <c r="AB66" s="18"/>
      <c r="AC66" s="135"/>
      <c r="AD66" s="135"/>
      <c r="AE66" s="51"/>
      <c r="AG66" s="135"/>
      <c r="AH66" s="135"/>
      <c r="AI66" s="51"/>
    </row>
    <row r="67" spans="1:35" ht="14.1" customHeight="1" x14ac:dyDescent="0.3">
      <c r="B67" s="131">
        <f>'Levantamento Campo'!B85</f>
        <v>0</v>
      </c>
      <c r="C67" s="131"/>
      <c r="D67" s="131"/>
      <c r="E67" s="18"/>
      <c r="F67" s="18"/>
      <c r="G67" s="50"/>
      <c r="H67" s="18"/>
      <c r="I67" s="18"/>
      <c r="J67" s="51"/>
      <c r="K67" s="51"/>
      <c r="L67" s="51"/>
      <c r="M67" s="51"/>
      <c r="N67" s="51"/>
      <c r="O67" s="18"/>
      <c r="P67" s="18"/>
      <c r="Q67" s="50"/>
      <c r="R67" s="18"/>
      <c r="S67" s="18"/>
      <c r="T67" s="51"/>
      <c r="U67" s="51"/>
      <c r="V67" s="51"/>
      <c r="W67" s="51"/>
      <c r="X67" s="51"/>
      <c r="Y67" s="51"/>
      <c r="Z67" s="18"/>
      <c r="AA67" s="18"/>
      <c r="AB67" s="18"/>
      <c r="AC67" s="135"/>
      <c r="AD67" s="135"/>
      <c r="AE67" s="51"/>
      <c r="AG67" s="135"/>
      <c r="AH67" s="135"/>
      <c r="AI67" s="51"/>
    </row>
    <row r="68" spans="1:35" ht="14.1" customHeight="1" x14ac:dyDescent="0.3">
      <c r="B68" s="131">
        <f>'Levantamento Campo'!B108</f>
        <v>0</v>
      </c>
      <c r="C68" s="131"/>
      <c r="D68" s="131"/>
      <c r="E68" s="18"/>
      <c r="F68" s="18"/>
      <c r="G68" s="50"/>
      <c r="H68" s="18"/>
      <c r="I68" s="18"/>
      <c r="J68" s="51"/>
      <c r="K68" s="51"/>
      <c r="L68" s="51"/>
      <c r="M68" s="51"/>
      <c r="N68" s="51"/>
      <c r="O68" s="18"/>
      <c r="P68" s="18"/>
      <c r="Q68" s="50"/>
      <c r="R68" s="18"/>
      <c r="S68" s="18"/>
      <c r="T68" s="51"/>
      <c r="U68" s="51"/>
      <c r="V68" s="51"/>
      <c r="W68" s="51"/>
      <c r="X68" s="51"/>
      <c r="Y68" s="51"/>
      <c r="Z68" s="18"/>
      <c r="AA68" s="18"/>
      <c r="AB68" s="18"/>
      <c r="AC68" s="135"/>
      <c r="AD68" s="135"/>
      <c r="AE68" s="51"/>
      <c r="AG68" s="135"/>
      <c r="AH68" s="135"/>
      <c r="AI68" s="51"/>
    </row>
    <row r="69" spans="1:35" ht="14.1" customHeight="1" x14ac:dyDescent="0.3">
      <c r="B69" s="132" t="s">
        <v>29</v>
      </c>
      <c r="C69" s="132"/>
      <c r="D69" s="132"/>
      <c r="E69" s="54">
        <f t="shared" ref="E69:AB69" si="0">SUM(E49:E68)</f>
        <v>0</v>
      </c>
      <c r="F69" s="55">
        <f t="shared" si="0"/>
        <v>0</v>
      </c>
      <c r="G69" s="55">
        <f t="shared" si="0"/>
        <v>0</v>
      </c>
      <c r="H69" s="55">
        <f t="shared" si="0"/>
        <v>0</v>
      </c>
      <c r="I69" s="54">
        <f t="shared" si="0"/>
        <v>0</v>
      </c>
      <c r="J69" s="54">
        <f t="shared" si="0"/>
        <v>0</v>
      </c>
      <c r="K69" s="54">
        <f t="shared" si="0"/>
        <v>0</v>
      </c>
      <c r="L69" s="54">
        <f t="shared" si="0"/>
        <v>0</v>
      </c>
      <c r="M69" s="55">
        <f t="shared" si="0"/>
        <v>0</v>
      </c>
      <c r="N69" s="55">
        <f t="shared" si="0"/>
        <v>0</v>
      </c>
      <c r="O69" s="55">
        <f t="shared" si="0"/>
        <v>0</v>
      </c>
      <c r="P69" s="55">
        <f t="shared" si="0"/>
        <v>0</v>
      </c>
      <c r="Q69" s="55">
        <f t="shared" si="0"/>
        <v>0</v>
      </c>
      <c r="R69" s="55">
        <f t="shared" si="0"/>
        <v>0</v>
      </c>
      <c r="S69" s="55">
        <f t="shared" si="0"/>
        <v>0</v>
      </c>
      <c r="T69" s="54">
        <f t="shared" si="0"/>
        <v>0</v>
      </c>
      <c r="U69" s="54">
        <f t="shared" si="0"/>
        <v>0</v>
      </c>
      <c r="V69" s="55">
        <f t="shared" si="0"/>
        <v>0</v>
      </c>
      <c r="W69" s="55">
        <f t="shared" si="0"/>
        <v>0</v>
      </c>
      <c r="X69" s="54">
        <f t="shared" si="0"/>
        <v>0</v>
      </c>
      <c r="Y69" s="54">
        <f t="shared" si="0"/>
        <v>0</v>
      </c>
      <c r="Z69" s="54">
        <f t="shared" si="0"/>
        <v>0</v>
      </c>
      <c r="AA69" s="54">
        <f t="shared" si="0"/>
        <v>0</v>
      </c>
      <c r="AB69" s="55">
        <f t="shared" si="0"/>
        <v>0</v>
      </c>
      <c r="AC69" s="138"/>
      <c r="AD69" s="138"/>
      <c r="AE69" s="55">
        <f>SUM(AE49:AE68)</f>
        <v>0</v>
      </c>
      <c r="AG69" s="135"/>
      <c r="AH69" s="135"/>
      <c r="AI69" s="51"/>
    </row>
    <row r="70" spans="1:35" ht="14.1" customHeight="1" x14ac:dyDescent="0.3">
      <c r="C70" s="29"/>
      <c r="D70" s="29"/>
      <c r="E70" s="41"/>
      <c r="F70" s="42"/>
      <c r="G70" s="42"/>
      <c r="H70" s="42"/>
      <c r="I70" s="42"/>
      <c r="AG70" s="135"/>
      <c r="AH70" s="135"/>
      <c r="AI70" s="51"/>
    </row>
    <row r="71" spans="1:35" ht="14.1" customHeight="1" x14ac:dyDescent="0.3">
      <c r="A71" s="34" t="s">
        <v>90</v>
      </c>
      <c r="B71" s="130" t="s">
        <v>91</v>
      </c>
      <c r="C71" s="130"/>
      <c r="D71" s="130"/>
      <c r="E71" s="130"/>
      <c r="F71" s="130"/>
      <c r="G71" s="42"/>
      <c r="H71" s="42"/>
      <c r="I71" s="42"/>
      <c r="AG71" s="135"/>
      <c r="AH71" s="135"/>
      <c r="AI71" s="51"/>
    </row>
    <row r="72" spans="1:35" ht="14.1" customHeight="1" x14ac:dyDescent="0.3">
      <c r="B72" s="7"/>
      <c r="G72" s="42"/>
      <c r="H72" s="42"/>
      <c r="I72" s="42"/>
      <c r="AG72" s="135"/>
      <c r="AH72" s="135"/>
      <c r="AI72" s="51"/>
    </row>
    <row r="73" spans="1:35" ht="14.1" customHeight="1" x14ac:dyDescent="0.3">
      <c r="B73" s="38"/>
      <c r="C73" s="57"/>
      <c r="D73" s="38"/>
      <c r="E73" s="133" t="s">
        <v>92</v>
      </c>
      <c r="F73" s="133" t="s">
        <v>93</v>
      </c>
      <c r="G73" s="136" t="s">
        <v>94</v>
      </c>
      <c r="H73" s="136" t="s">
        <v>95</v>
      </c>
      <c r="I73" s="136" t="s">
        <v>96</v>
      </c>
      <c r="J73" s="136"/>
      <c r="K73" s="133" t="s">
        <v>52</v>
      </c>
      <c r="L73" s="133"/>
      <c r="M73" s="133"/>
      <c r="N73" s="133"/>
      <c r="O73" s="57"/>
      <c r="P73" s="57"/>
      <c r="Q73" s="57"/>
      <c r="R73" s="57"/>
      <c r="S73" s="57"/>
      <c r="T73" s="57"/>
      <c r="U73" s="57"/>
      <c r="V73" s="57"/>
      <c r="W73" s="57"/>
      <c r="X73" s="38"/>
      <c r="Y73" s="38"/>
      <c r="Z73" s="57"/>
      <c r="AA73" s="57"/>
      <c r="AB73" s="57"/>
      <c r="AC73" s="57"/>
      <c r="AD73" s="57"/>
      <c r="AE73" s="57"/>
      <c r="AG73" s="135"/>
      <c r="AH73" s="135"/>
      <c r="AI73" s="51"/>
    </row>
    <row r="74" spans="1:35" ht="14.1" customHeight="1" x14ac:dyDescent="0.3">
      <c r="B74" s="136" t="s">
        <v>5</v>
      </c>
      <c r="C74" s="136"/>
      <c r="D74" s="136"/>
      <c r="E74" s="133"/>
      <c r="F74" s="133"/>
      <c r="G74" s="136"/>
      <c r="H74" s="136"/>
      <c r="I74" s="136" t="s">
        <v>11</v>
      </c>
      <c r="J74" s="2" t="s">
        <v>12</v>
      </c>
      <c r="K74" s="49" t="s">
        <v>97</v>
      </c>
      <c r="L74" s="2" t="s">
        <v>16</v>
      </c>
      <c r="M74" s="2" t="s">
        <v>17</v>
      </c>
      <c r="N74" s="2" t="s">
        <v>18</v>
      </c>
      <c r="O74" s="15"/>
      <c r="P74" s="15"/>
      <c r="Q74" s="15"/>
      <c r="R74" s="15"/>
      <c r="S74" s="15"/>
      <c r="T74" s="15"/>
      <c r="U74" s="38"/>
      <c r="V74" s="38"/>
      <c r="W74" s="38"/>
      <c r="X74" s="38"/>
      <c r="Y74" s="57"/>
      <c r="Z74" s="15"/>
      <c r="AA74" s="15"/>
      <c r="AB74" s="15"/>
      <c r="AC74" s="15"/>
      <c r="AD74" s="15"/>
      <c r="AE74" s="38"/>
      <c r="AG74" s="137"/>
      <c r="AH74" s="137"/>
      <c r="AI74" s="55">
        <f>SUM(AI49:AI73)</f>
        <v>0</v>
      </c>
    </row>
    <row r="75" spans="1:35" ht="14.1" customHeight="1" x14ac:dyDescent="0.3">
      <c r="B75" s="136"/>
      <c r="C75" s="136"/>
      <c r="D75" s="136"/>
      <c r="E75" s="18" t="s">
        <v>14</v>
      </c>
      <c r="F75" s="18" t="s">
        <v>13</v>
      </c>
      <c r="G75" s="50" t="s">
        <v>14</v>
      </c>
      <c r="H75" s="18" t="s">
        <v>14</v>
      </c>
      <c r="I75" s="136"/>
      <c r="J75" s="51" t="s">
        <v>15</v>
      </c>
      <c r="K75" s="51" t="s">
        <v>15</v>
      </c>
      <c r="L75" s="51" t="s">
        <v>15</v>
      </c>
      <c r="M75" s="51" t="s">
        <v>15</v>
      </c>
      <c r="N75" s="51" t="s">
        <v>15</v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15"/>
      <c r="AD75" s="15"/>
      <c r="AE75" s="58"/>
    </row>
    <row r="76" spans="1:35" ht="14.1" customHeight="1" x14ac:dyDescent="0.3">
      <c r="B76" s="131">
        <f>'Levantamento Campo'!B8</f>
        <v>0</v>
      </c>
      <c r="C76" s="131"/>
      <c r="D76" s="131"/>
      <c r="E76" s="18"/>
      <c r="F76" s="18"/>
      <c r="G76" s="50"/>
      <c r="H76" s="18"/>
      <c r="I76" s="18"/>
      <c r="J76" s="51"/>
      <c r="K76" s="51"/>
      <c r="L76" s="51"/>
      <c r="M76" s="51"/>
      <c r="N76" s="51"/>
      <c r="O76" s="58"/>
      <c r="P76" s="58"/>
      <c r="Q76" s="58"/>
      <c r="R76" s="58"/>
      <c r="S76" s="58"/>
      <c r="T76" s="45"/>
      <c r="U76" s="45"/>
      <c r="V76" s="45"/>
      <c r="W76" s="45"/>
      <c r="X76" s="45"/>
      <c r="Y76" s="45"/>
      <c r="Z76" s="58"/>
      <c r="AA76" s="58"/>
      <c r="AB76" s="58"/>
      <c r="AC76" s="58"/>
      <c r="AD76" s="58"/>
      <c r="AE76" s="45"/>
    </row>
    <row r="77" spans="1:35" ht="14.1" customHeight="1" x14ac:dyDescent="0.3">
      <c r="B77" s="131">
        <f>'Levantamento Campo'!B9</f>
        <v>0</v>
      </c>
      <c r="C77" s="131"/>
      <c r="D77" s="131"/>
      <c r="E77" s="18"/>
      <c r="F77" s="18"/>
      <c r="G77" s="50"/>
      <c r="H77" s="18"/>
      <c r="I77" s="18"/>
      <c r="J77" s="51"/>
      <c r="K77" s="51"/>
      <c r="L77" s="51"/>
      <c r="M77" s="51"/>
      <c r="N77" s="51"/>
      <c r="O77" s="58"/>
      <c r="P77" s="58"/>
      <c r="Q77" s="58"/>
      <c r="R77" s="58"/>
      <c r="S77" s="58"/>
      <c r="T77" s="45"/>
      <c r="U77" s="45"/>
      <c r="V77" s="45"/>
      <c r="W77" s="45"/>
      <c r="X77" s="45"/>
      <c r="Y77" s="45"/>
      <c r="Z77" s="58"/>
      <c r="AA77" s="58"/>
      <c r="AB77" s="58"/>
      <c r="AC77" s="58"/>
      <c r="AD77" s="58"/>
      <c r="AE77" s="45"/>
    </row>
    <row r="78" spans="1:35" ht="14.1" customHeight="1" x14ac:dyDescent="0.3">
      <c r="B78" s="131">
        <f>'Levantamento Campo'!B10</f>
        <v>0</v>
      </c>
      <c r="C78" s="131"/>
      <c r="D78" s="131"/>
      <c r="E78" s="18"/>
      <c r="F78" s="18"/>
      <c r="G78" s="50"/>
      <c r="H78" s="18"/>
      <c r="I78" s="18"/>
      <c r="J78" s="51"/>
      <c r="K78" s="51"/>
      <c r="L78" s="51"/>
      <c r="M78" s="51"/>
      <c r="N78" s="51"/>
      <c r="O78" s="58"/>
      <c r="P78" s="58"/>
      <c r="Q78" s="58"/>
      <c r="R78" s="58"/>
      <c r="S78" s="58"/>
      <c r="T78" s="45"/>
      <c r="U78" s="45"/>
      <c r="V78" s="45"/>
      <c r="W78" s="45"/>
      <c r="X78" s="45"/>
      <c r="Y78" s="45"/>
      <c r="Z78" s="58"/>
      <c r="AA78" s="58"/>
      <c r="AB78" s="58"/>
      <c r="AC78" s="58"/>
      <c r="AD78" s="58"/>
      <c r="AE78" s="45"/>
    </row>
    <row r="79" spans="1:35" ht="14.1" customHeight="1" x14ac:dyDescent="0.3">
      <c r="B79" s="131">
        <f>'Levantamento Campo'!B11</f>
        <v>0</v>
      </c>
      <c r="C79" s="131"/>
      <c r="D79" s="131"/>
      <c r="E79" s="18"/>
      <c r="F79" s="18"/>
      <c r="G79" s="50"/>
      <c r="H79" s="18"/>
      <c r="I79" s="18"/>
      <c r="J79" s="51"/>
      <c r="K79" s="51"/>
      <c r="L79" s="51"/>
      <c r="M79" s="51"/>
      <c r="N79" s="51"/>
      <c r="O79" s="58"/>
      <c r="P79" s="58"/>
      <c r="Q79" s="58"/>
      <c r="R79" s="58"/>
      <c r="S79" s="58"/>
      <c r="T79" s="45"/>
      <c r="U79" s="45"/>
      <c r="V79" s="45"/>
      <c r="W79" s="45"/>
      <c r="X79" s="45"/>
      <c r="Y79" s="45"/>
      <c r="Z79" s="58"/>
      <c r="AA79" s="58"/>
      <c r="AB79" s="58"/>
      <c r="AC79" s="58"/>
      <c r="AD79" s="58"/>
      <c r="AE79" s="45"/>
    </row>
    <row r="80" spans="1:35" ht="14.1" customHeight="1" x14ac:dyDescent="0.3">
      <c r="B80" s="131">
        <f>'Levantamento Campo'!B12</f>
        <v>0</v>
      </c>
      <c r="C80" s="131"/>
      <c r="D80" s="131"/>
      <c r="E80" s="18"/>
      <c r="F80" s="18"/>
      <c r="G80" s="50"/>
      <c r="H80" s="18"/>
      <c r="I80" s="18"/>
      <c r="J80" s="51"/>
      <c r="K80" s="51"/>
      <c r="L80" s="51"/>
      <c r="M80" s="51"/>
      <c r="N80" s="51"/>
      <c r="O80" s="58"/>
      <c r="P80" s="58"/>
      <c r="Q80" s="58"/>
      <c r="R80" s="58"/>
      <c r="S80" s="58"/>
      <c r="T80" s="45"/>
      <c r="U80" s="45"/>
      <c r="V80" s="45"/>
      <c r="W80" s="45"/>
      <c r="X80" s="45"/>
      <c r="Y80" s="45"/>
      <c r="Z80" s="58"/>
      <c r="AA80" s="58"/>
      <c r="AB80" s="58"/>
      <c r="AC80" s="58"/>
      <c r="AD80" s="58"/>
      <c r="AE80" s="45"/>
    </row>
    <row r="81" spans="2:31" ht="14.1" customHeight="1" x14ac:dyDescent="0.3">
      <c r="B81" s="131">
        <f>'Levantamento Campo'!B13</f>
        <v>0</v>
      </c>
      <c r="C81" s="131"/>
      <c r="D81" s="131"/>
      <c r="E81" s="18"/>
      <c r="F81" s="18"/>
      <c r="G81" s="50"/>
      <c r="H81" s="18"/>
      <c r="I81" s="18"/>
      <c r="J81" s="51"/>
      <c r="K81" s="51"/>
      <c r="L81" s="51"/>
      <c r="M81" s="51"/>
      <c r="N81" s="51"/>
      <c r="O81" s="58"/>
      <c r="P81" s="58"/>
      <c r="Q81" s="58"/>
      <c r="R81" s="58"/>
      <c r="S81" s="58"/>
      <c r="T81" s="45"/>
      <c r="U81" s="45"/>
      <c r="V81" s="45"/>
      <c r="W81" s="45"/>
      <c r="X81" s="45"/>
      <c r="Y81" s="45"/>
      <c r="Z81" s="58"/>
      <c r="AA81" s="58"/>
      <c r="AB81" s="58"/>
      <c r="AC81" s="58"/>
      <c r="AD81" s="58"/>
      <c r="AE81" s="45"/>
    </row>
    <row r="82" spans="2:31" ht="14.1" customHeight="1" x14ac:dyDescent="0.3">
      <c r="B82" s="131">
        <f>'Levantamento Campo'!B14</f>
        <v>0</v>
      </c>
      <c r="C82" s="131"/>
      <c r="D82" s="131"/>
      <c r="E82" s="18"/>
      <c r="F82" s="18"/>
      <c r="G82" s="50"/>
      <c r="H82" s="18"/>
      <c r="I82" s="18"/>
      <c r="J82" s="51"/>
      <c r="K82" s="51"/>
      <c r="L82" s="51"/>
      <c r="M82" s="51"/>
      <c r="N82" s="51"/>
      <c r="O82" s="58"/>
      <c r="P82" s="58"/>
      <c r="Q82" s="58"/>
      <c r="R82" s="58"/>
      <c r="S82" s="58"/>
      <c r="T82" s="45"/>
      <c r="U82" s="45"/>
      <c r="V82" s="45"/>
      <c r="W82" s="45"/>
      <c r="X82" s="45"/>
      <c r="Y82" s="45"/>
      <c r="Z82" s="58"/>
      <c r="AA82" s="58"/>
      <c r="AB82" s="58"/>
      <c r="AC82" s="58"/>
      <c r="AD82" s="58"/>
      <c r="AE82" s="45"/>
    </row>
    <row r="83" spans="2:31" ht="14.1" customHeight="1" x14ac:dyDescent="0.3">
      <c r="B83" s="131">
        <f>'Levantamento Campo'!B15</f>
        <v>0</v>
      </c>
      <c r="C83" s="131"/>
      <c r="D83" s="131"/>
      <c r="E83" s="18"/>
      <c r="F83" s="18"/>
      <c r="G83" s="50"/>
      <c r="H83" s="18"/>
      <c r="I83" s="18"/>
      <c r="J83" s="51"/>
      <c r="K83" s="51"/>
      <c r="L83" s="51"/>
      <c r="M83" s="51"/>
      <c r="N83" s="51"/>
      <c r="O83" s="58"/>
      <c r="P83" s="58"/>
      <c r="Q83" s="58"/>
      <c r="R83" s="58"/>
      <c r="S83" s="58"/>
      <c r="T83" s="45"/>
      <c r="U83" s="45"/>
      <c r="V83" s="45"/>
      <c r="W83" s="45"/>
      <c r="X83" s="45"/>
      <c r="Y83" s="45"/>
      <c r="Z83" s="58"/>
      <c r="AA83" s="58"/>
      <c r="AB83" s="58"/>
      <c r="AC83" s="58"/>
      <c r="AD83" s="58"/>
      <c r="AE83" s="45"/>
    </row>
    <row r="84" spans="2:31" ht="14.1" customHeight="1" x14ac:dyDescent="0.3">
      <c r="B84" s="131">
        <f>'Levantamento Campo'!B16</f>
        <v>0</v>
      </c>
      <c r="C84" s="131"/>
      <c r="D84" s="131"/>
      <c r="E84" s="18"/>
      <c r="F84" s="18"/>
      <c r="G84" s="50"/>
      <c r="H84" s="18"/>
      <c r="I84" s="18"/>
      <c r="J84" s="51"/>
      <c r="K84" s="51"/>
      <c r="L84" s="51"/>
      <c r="M84" s="51"/>
      <c r="N84" s="51"/>
      <c r="O84" s="58"/>
      <c r="P84" s="58"/>
      <c r="Q84" s="58"/>
      <c r="R84" s="58"/>
      <c r="S84" s="58"/>
      <c r="T84" s="45"/>
      <c r="U84" s="45"/>
      <c r="V84" s="45"/>
      <c r="W84" s="45"/>
      <c r="X84" s="45"/>
      <c r="Y84" s="45"/>
      <c r="Z84" s="58"/>
      <c r="AA84" s="58"/>
      <c r="AB84" s="58"/>
      <c r="AC84" s="58"/>
      <c r="AD84" s="58"/>
      <c r="AE84" s="45"/>
    </row>
    <row r="85" spans="2:31" ht="14.1" customHeight="1" x14ac:dyDescent="0.3">
      <c r="B85" s="131">
        <f>'Levantamento Campo'!B17</f>
        <v>0</v>
      </c>
      <c r="C85" s="131"/>
      <c r="D85" s="131"/>
      <c r="E85" s="18"/>
      <c r="F85" s="18"/>
      <c r="G85" s="50"/>
      <c r="H85" s="18"/>
      <c r="I85" s="18"/>
      <c r="J85" s="51"/>
      <c r="K85" s="51"/>
      <c r="L85" s="51"/>
      <c r="M85" s="51"/>
      <c r="N85" s="51"/>
      <c r="O85" s="58"/>
      <c r="P85" s="58"/>
      <c r="Q85" s="58"/>
      <c r="R85" s="58"/>
      <c r="S85" s="58"/>
      <c r="T85" s="45"/>
      <c r="U85" s="45"/>
      <c r="V85" s="45"/>
      <c r="W85" s="45"/>
      <c r="X85" s="45"/>
      <c r="Y85" s="45"/>
      <c r="Z85" s="58"/>
      <c r="AA85" s="58"/>
      <c r="AB85" s="58"/>
      <c r="AC85" s="58"/>
      <c r="AD85" s="58"/>
      <c r="AE85" s="45"/>
    </row>
    <row r="86" spans="2:31" ht="14.1" customHeight="1" x14ac:dyDescent="0.3">
      <c r="B86" s="131">
        <f>'Levantamento Campo'!B18</f>
        <v>0</v>
      </c>
      <c r="C86" s="131"/>
      <c r="D86" s="131"/>
      <c r="E86" s="18"/>
      <c r="F86" s="18"/>
      <c r="G86" s="50"/>
      <c r="H86" s="18"/>
      <c r="I86" s="18"/>
      <c r="J86" s="51"/>
      <c r="K86" s="51"/>
      <c r="L86" s="51"/>
      <c r="M86" s="51"/>
      <c r="N86" s="51"/>
      <c r="O86" s="58"/>
      <c r="P86" s="58"/>
      <c r="Q86" s="58"/>
      <c r="R86" s="58"/>
      <c r="S86" s="58"/>
      <c r="T86" s="45"/>
      <c r="U86" s="45"/>
      <c r="V86" s="45"/>
      <c r="W86" s="45"/>
      <c r="X86" s="45"/>
      <c r="Y86" s="45"/>
      <c r="Z86" s="58"/>
      <c r="AA86" s="58"/>
      <c r="AB86" s="58"/>
      <c r="AC86" s="58"/>
      <c r="AD86" s="58"/>
      <c r="AE86" s="45"/>
    </row>
    <row r="87" spans="2:31" ht="14.1" customHeight="1" x14ac:dyDescent="0.3">
      <c r="B87" s="131">
        <f>'Levantamento Campo'!B19</f>
        <v>0</v>
      </c>
      <c r="C87" s="131"/>
      <c r="D87" s="131"/>
      <c r="E87" s="18"/>
      <c r="F87" s="18"/>
      <c r="G87" s="50"/>
      <c r="H87" s="18"/>
      <c r="I87" s="18"/>
      <c r="J87" s="51"/>
      <c r="K87" s="51"/>
      <c r="L87" s="51"/>
      <c r="M87" s="51"/>
      <c r="N87" s="51"/>
      <c r="O87" s="15"/>
      <c r="P87" s="15"/>
      <c r="Q87" s="15"/>
      <c r="R87" s="15"/>
      <c r="S87" s="15"/>
      <c r="T87" s="3"/>
      <c r="U87" s="45"/>
      <c r="V87" s="45"/>
      <c r="W87" s="45"/>
      <c r="X87" s="45"/>
      <c r="Y87" s="45"/>
      <c r="Z87" s="15"/>
      <c r="AA87" s="15"/>
      <c r="AB87" s="15"/>
      <c r="AC87" s="15"/>
      <c r="AD87" s="15"/>
      <c r="AE87" s="45"/>
    </row>
    <row r="88" spans="2:31" ht="14.1" customHeight="1" x14ac:dyDescent="0.3">
      <c r="B88" s="131">
        <f>'Levantamento Campo'!B20</f>
        <v>0</v>
      </c>
      <c r="C88" s="131"/>
      <c r="D88" s="131"/>
      <c r="E88" s="18"/>
      <c r="F88" s="18"/>
      <c r="G88" s="50"/>
      <c r="H88" s="18"/>
      <c r="I88" s="18"/>
      <c r="J88" s="51"/>
      <c r="K88" s="51"/>
      <c r="L88" s="51"/>
      <c r="M88" s="51"/>
      <c r="N88" s="51"/>
      <c r="O88" s="58"/>
      <c r="P88" s="58"/>
      <c r="Q88" s="58"/>
      <c r="R88" s="58"/>
      <c r="S88" s="58"/>
      <c r="T88" s="45"/>
      <c r="U88" s="45"/>
      <c r="V88" s="45"/>
      <c r="W88" s="45"/>
      <c r="X88" s="45"/>
      <c r="Y88" s="45"/>
      <c r="Z88" s="58"/>
      <c r="AA88" s="58"/>
      <c r="AB88" s="58"/>
      <c r="AC88" s="58"/>
      <c r="AD88" s="58"/>
      <c r="AE88" s="45"/>
    </row>
    <row r="89" spans="2:31" ht="14.1" customHeight="1" x14ac:dyDescent="0.3">
      <c r="B89" s="131">
        <f>'Levantamento Campo'!B21</f>
        <v>0</v>
      </c>
      <c r="C89" s="131"/>
      <c r="D89" s="131"/>
      <c r="E89" s="18"/>
      <c r="F89" s="18"/>
      <c r="G89" s="50"/>
      <c r="H89" s="18"/>
      <c r="I89" s="18"/>
      <c r="J89" s="51"/>
      <c r="K89" s="51"/>
      <c r="L89" s="51"/>
      <c r="M89" s="51"/>
      <c r="N89" s="51"/>
      <c r="O89" s="58"/>
      <c r="P89" s="58"/>
      <c r="Q89" s="58"/>
      <c r="R89" s="58"/>
      <c r="S89" s="58"/>
      <c r="T89" s="45"/>
      <c r="U89" s="45"/>
      <c r="V89" s="45"/>
      <c r="W89" s="45"/>
      <c r="X89" s="45"/>
      <c r="Y89" s="45"/>
      <c r="Z89" s="58"/>
      <c r="AA89" s="58"/>
      <c r="AB89" s="58"/>
      <c r="AC89" s="58"/>
      <c r="AD89" s="58"/>
      <c r="AE89" s="45"/>
    </row>
    <row r="90" spans="2:31" ht="14.1" customHeight="1" x14ac:dyDescent="0.3">
      <c r="B90" s="131">
        <f>'Levantamento Campo'!B22</f>
        <v>0</v>
      </c>
      <c r="C90" s="131"/>
      <c r="D90" s="131"/>
      <c r="E90" s="18"/>
      <c r="F90" s="18"/>
      <c r="G90" s="50"/>
      <c r="H90" s="18"/>
      <c r="I90" s="18"/>
      <c r="J90" s="51"/>
      <c r="K90" s="51"/>
      <c r="L90" s="51"/>
      <c r="M90" s="51"/>
      <c r="N90" s="51"/>
      <c r="O90" s="58"/>
      <c r="P90" s="58"/>
      <c r="Q90" s="58"/>
      <c r="R90" s="58"/>
      <c r="S90" s="58"/>
      <c r="T90" s="45"/>
      <c r="U90" s="45"/>
      <c r="V90" s="45"/>
      <c r="W90" s="45"/>
      <c r="X90" s="45"/>
      <c r="Y90" s="45"/>
      <c r="Z90" s="58"/>
      <c r="AA90" s="58"/>
      <c r="AB90" s="58"/>
      <c r="AC90" s="58"/>
      <c r="AD90" s="58"/>
      <c r="AE90" s="45"/>
    </row>
    <row r="91" spans="2:31" ht="14.1" customHeight="1" x14ac:dyDescent="0.3">
      <c r="B91" s="131">
        <f>'Levantamento Campo'!B23</f>
        <v>0</v>
      </c>
      <c r="C91" s="131"/>
      <c r="D91" s="131"/>
      <c r="E91" s="18"/>
      <c r="F91" s="18"/>
      <c r="G91" s="50"/>
      <c r="H91" s="18"/>
      <c r="I91" s="18"/>
      <c r="J91" s="51"/>
      <c r="K91" s="51"/>
      <c r="L91" s="51"/>
      <c r="M91" s="51"/>
      <c r="N91" s="51"/>
      <c r="O91" s="58"/>
      <c r="P91" s="58"/>
      <c r="Q91" s="58"/>
      <c r="R91" s="58"/>
      <c r="S91" s="58"/>
      <c r="T91" s="45"/>
      <c r="U91" s="45"/>
      <c r="V91" s="45"/>
      <c r="W91" s="45"/>
      <c r="X91" s="45"/>
      <c r="Y91" s="45"/>
      <c r="Z91" s="58"/>
      <c r="AA91" s="58"/>
      <c r="AB91" s="58"/>
      <c r="AC91" s="58"/>
      <c r="AD91" s="58"/>
      <c r="AE91" s="45"/>
    </row>
    <row r="92" spans="2:31" ht="14.1" customHeight="1" x14ac:dyDescent="0.3">
      <c r="B92" s="131">
        <f>'Levantamento Campo'!B83</f>
        <v>0</v>
      </c>
      <c r="C92" s="131"/>
      <c r="D92" s="131"/>
      <c r="E92" s="18"/>
      <c r="F92" s="18"/>
      <c r="G92" s="50"/>
      <c r="H92" s="18"/>
      <c r="I92" s="18"/>
      <c r="J92" s="51"/>
      <c r="K92" s="51"/>
      <c r="L92" s="51"/>
      <c r="M92" s="51"/>
      <c r="N92" s="51"/>
      <c r="O92" s="58"/>
      <c r="P92" s="58"/>
      <c r="Q92" s="58"/>
      <c r="R92" s="58"/>
      <c r="S92" s="58"/>
      <c r="T92" s="45"/>
      <c r="U92" s="45"/>
      <c r="V92" s="45"/>
      <c r="W92" s="45"/>
      <c r="X92" s="45"/>
      <c r="Y92" s="45"/>
      <c r="Z92" s="58"/>
      <c r="AA92" s="58"/>
      <c r="AB92" s="58"/>
      <c r="AC92" s="58"/>
      <c r="AD92" s="58"/>
      <c r="AE92" s="45"/>
    </row>
    <row r="93" spans="2:31" ht="14.1" customHeight="1" x14ac:dyDescent="0.3">
      <c r="B93" s="131">
        <f>'Levantamento Campo'!B84</f>
        <v>0</v>
      </c>
      <c r="C93" s="131"/>
      <c r="D93" s="131"/>
      <c r="E93" s="18"/>
      <c r="F93" s="18"/>
      <c r="G93" s="50"/>
      <c r="H93" s="18"/>
      <c r="I93" s="18"/>
      <c r="J93" s="51"/>
      <c r="K93" s="51"/>
      <c r="L93" s="51"/>
      <c r="M93" s="51"/>
      <c r="N93" s="51"/>
      <c r="O93" s="58"/>
      <c r="P93" s="58"/>
      <c r="Q93" s="58"/>
      <c r="R93" s="58"/>
      <c r="S93" s="58"/>
      <c r="T93" s="45"/>
      <c r="U93" s="45"/>
      <c r="V93" s="45"/>
      <c r="W93" s="45"/>
      <c r="X93" s="45"/>
      <c r="Y93" s="45"/>
      <c r="Z93" s="58"/>
      <c r="AA93" s="58"/>
      <c r="AB93" s="58"/>
      <c r="AC93" s="58"/>
      <c r="AD93" s="58"/>
      <c r="AE93" s="45"/>
    </row>
    <row r="94" spans="2:31" ht="14.1" customHeight="1" x14ac:dyDescent="0.3">
      <c r="B94" s="131">
        <f>'Levantamento Campo'!B85</f>
        <v>0</v>
      </c>
      <c r="C94" s="131"/>
      <c r="D94" s="131"/>
      <c r="E94" s="18"/>
      <c r="F94" s="18"/>
      <c r="G94" s="50"/>
      <c r="H94" s="18"/>
      <c r="I94" s="18"/>
      <c r="J94" s="51"/>
      <c r="K94" s="51"/>
      <c r="L94" s="51"/>
      <c r="M94" s="51"/>
      <c r="N94" s="51"/>
      <c r="O94" s="58"/>
      <c r="P94" s="58"/>
      <c r="Q94" s="58"/>
      <c r="R94" s="58"/>
      <c r="S94" s="58"/>
      <c r="T94" s="45"/>
      <c r="U94" s="45"/>
      <c r="V94" s="45"/>
      <c r="W94" s="45"/>
      <c r="X94" s="45"/>
      <c r="Y94" s="45"/>
      <c r="Z94" s="58"/>
      <c r="AA94" s="58"/>
      <c r="AB94" s="58"/>
      <c r="AC94" s="58"/>
      <c r="AD94" s="58"/>
      <c r="AE94" s="45"/>
    </row>
    <row r="95" spans="2:31" ht="14.1" customHeight="1" x14ac:dyDescent="0.3">
      <c r="B95" s="131">
        <f>'Levantamento Campo'!B108</f>
        <v>0</v>
      </c>
      <c r="C95" s="131"/>
      <c r="D95" s="131"/>
      <c r="E95" s="18"/>
      <c r="F95" s="18"/>
      <c r="G95" s="50"/>
      <c r="H95" s="18"/>
      <c r="I95" s="18"/>
      <c r="J95" s="51"/>
      <c r="K95" s="51"/>
      <c r="L95" s="51"/>
      <c r="M95" s="51"/>
      <c r="N95" s="51"/>
      <c r="O95" s="58"/>
      <c r="P95" s="58"/>
      <c r="Q95" s="58"/>
      <c r="R95" s="58"/>
      <c r="S95" s="58"/>
      <c r="T95" s="45"/>
      <c r="U95" s="45"/>
      <c r="V95" s="45"/>
      <c r="W95" s="45"/>
      <c r="X95" s="45"/>
      <c r="Y95" s="45"/>
      <c r="Z95" s="58"/>
      <c r="AA95" s="58"/>
      <c r="AB95" s="58"/>
      <c r="AC95" s="58"/>
      <c r="AD95" s="58"/>
      <c r="AE95" s="45"/>
    </row>
    <row r="96" spans="2:31" ht="14.1" customHeight="1" x14ac:dyDescent="0.3">
      <c r="B96" s="132" t="s">
        <v>29</v>
      </c>
      <c r="C96" s="132"/>
      <c r="D96" s="132"/>
      <c r="E96" s="54">
        <f>SUM(E76:E95)</f>
        <v>0</v>
      </c>
      <c r="F96" s="54">
        <f>SUM(F76:F95)</f>
        <v>0</v>
      </c>
      <c r="G96" s="54">
        <f>SUM(G76:G95)</f>
        <v>0</v>
      </c>
      <c r="H96" s="54">
        <f>SUM(H76:H95)</f>
        <v>0</v>
      </c>
      <c r="I96" s="59"/>
      <c r="J96" s="54">
        <f>SUM(J76:J95)</f>
        <v>0</v>
      </c>
      <c r="K96" s="54">
        <f>SUM(K76:K95)</f>
        <v>0</v>
      </c>
      <c r="L96" s="54">
        <f>SUM(L76:L95)</f>
        <v>0</v>
      </c>
      <c r="M96" s="54">
        <f>SUM(M76:M95)</f>
        <v>0</v>
      </c>
      <c r="N96" s="54">
        <f>SUM(N76:N95)</f>
        <v>0</v>
      </c>
      <c r="O96" s="60"/>
      <c r="P96" s="60"/>
      <c r="Q96" s="60"/>
      <c r="R96" s="60"/>
      <c r="S96" s="60"/>
      <c r="T96" s="56"/>
      <c r="U96" s="56"/>
      <c r="V96" s="60"/>
      <c r="W96" s="60"/>
      <c r="X96" s="56"/>
      <c r="Y96" s="56"/>
      <c r="Z96" s="56"/>
      <c r="AA96" s="56"/>
      <c r="AB96" s="60"/>
      <c r="AC96" s="56"/>
      <c r="AD96" s="56"/>
      <c r="AE96" s="60"/>
    </row>
    <row r="97" spans="1:14" ht="14.1" customHeight="1" x14ac:dyDescent="0.3">
      <c r="B97" s="53"/>
      <c r="C97" s="59"/>
      <c r="D97" s="61"/>
      <c r="E97" s="59"/>
      <c r="F97" s="59"/>
      <c r="G97" s="59"/>
      <c r="H97" s="59"/>
      <c r="I97" s="59"/>
      <c r="J97" s="59"/>
      <c r="K97" s="59"/>
      <c r="L97" s="59"/>
      <c r="M97" s="59"/>
      <c r="N97" s="59"/>
    </row>
    <row r="98" spans="1:14" ht="14.1" customHeight="1" x14ac:dyDescent="0.3">
      <c r="A98" s="34" t="s">
        <v>98</v>
      </c>
      <c r="B98" s="130" t="s">
        <v>99</v>
      </c>
      <c r="C98" s="130"/>
      <c r="D98" s="130"/>
      <c r="E98" s="130"/>
      <c r="F98" s="130"/>
      <c r="G98" s="42"/>
      <c r="H98" s="42"/>
      <c r="I98" s="42"/>
    </row>
    <row r="99" spans="1:14" ht="14.1" customHeight="1" x14ac:dyDescent="0.3">
      <c r="C99" s="29"/>
      <c r="D99" s="29"/>
      <c r="E99" s="21"/>
      <c r="F99" s="42"/>
      <c r="G99" s="42"/>
      <c r="H99" s="42"/>
      <c r="I99" s="42"/>
    </row>
    <row r="100" spans="1:14" ht="14.1" customHeight="1" x14ac:dyDescent="0.3">
      <c r="B100" s="133" t="s">
        <v>100</v>
      </c>
      <c r="C100" s="133"/>
      <c r="D100" s="133"/>
      <c r="E100" s="21"/>
      <c r="F100" s="42"/>
      <c r="G100" s="42"/>
      <c r="H100" s="42"/>
      <c r="I100" s="42"/>
    </row>
    <row r="101" spans="1:14" ht="14.1" customHeight="1" x14ac:dyDescent="0.3">
      <c r="B101" s="116" t="s">
        <v>11</v>
      </c>
      <c r="C101" s="116"/>
      <c r="D101" s="46" t="s">
        <v>12</v>
      </c>
      <c r="E101" s="21"/>
      <c r="F101" s="42"/>
      <c r="G101" s="42"/>
      <c r="H101" s="42"/>
      <c r="I101" s="42"/>
    </row>
    <row r="102" spans="1:14" x14ac:dyDescent="0.3">
      <c r="B102" s="116"/>
      <c r="C102" s="116"/>
      <c r="D102" s="18" t="s">
        <v>15</v>
      </c>
    </row>
    <row r="103" spans="1:14" ht="14.1" customHeight="1" x14ac:dyDescent="0.3">
      <c r="B103" s="131" t="s">
        <v>101</v>
      </c>
      <c r="C103" s="131"/>
      <c r="D103" s="2"/>
    </row>
    <row r="104" spans="1:14" ht="14.1" customHeight="1" x14ac:dyDescent="0.3">
      <c r="B104" s="134" t="s">
        <v>102</v>
      </c>
      <c r="C104" s="134"/>
      <c r="D104" s="2"/>
    </row>
    <row r="106" spans="1:14" x14ac:dyDescent="0.3">
      <c r="A106" s="34" t="s">
        <v>103</v>
      </c>
      <c r="B106" s="130" t="s">
        <v>104</v>
      </c>
      <c r="C106" s="130"/>
      <c r="D106" s="130"/>
      <c r="E106" s="130"/>
      <c r="F106" s="130"/>
    </row>
    <row r="112" spans="1:14" x14ac:dyDescent="0.3">
      <c r="A112" s="34" t="s">
        <v>105</v>
      </c>
      <c r="B112" s="130" t="s">
        <v>106</v>
      </c>
      <c r="C112" s="130"/>
      <c r="D112" s="130"/>
      <c r="E112" s="130"/>
      <c r="F112" s="130"/>
    </row>
    <row r="118" spans="1:6" x14ac:dyDescent="0.3">
      <c r="A118" s="34" t="s">
        <v>107</v>
      </c>
      <c r="B118" s="130" t="s">
        <v>108</v>
      </c>
      <c r="C118" s="130"/>
      <c r="D118" s="130"/>
      <c r="E118" s="130"/>
      <c r="F118" s="130"/>
    </row>
  </sheetData>
  <mergeCells count="134">
    <mergeCell ref="B1:G1"/>
    <mergeCell ref="B3:D3"/>
    <mergeCell ref="B5:D5"/>
    <mergeCell ref="B11:E11"/>
    <mergeCell ref="B17:E17"/>
    <mergeCell ref="B23:E23"/>
    <mergeCell ref="B29:E29"/>
    <mergeCell ref="B35:F35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B44:F44"/>
    <mergeCell ref="E46:N46"/>
    <mergeCell ref="O46:W46"/>
    <mergeCell ref="X46:Y46"/>
    <mergeCell ref="Z46:AB46"/>
    <mergeCell ref="AC46:AE46"/>
    <mergeCell ref="AG46:AI46"/>
    <mergeCell ref="B47:D48"/>
    <mergeCell ref="AC47:AD48"/>
    <mergeCell ref="AG47:AH48"/>
    <mergeCell ref="B49:D49"/>
    <mergeCell ref="AC49:AD49"/>
    <mergeCell ref="AG49:AH49"/>
    <mergeCell ref="B50:D50"/>
    <mergeCell ref="AC50:AD50"/>
    <mergeCell ref="AG50:AH50"/>
    <mergeCell ref="B51:D51"/>
    <mergeCell ref="AC51:AD51"/>
    <mergeCell ref="AG51:AH51"/>
    <mergeCell ref="B52:D52"/>
    <mergeCell ref="AC52:AD52"/>
    <mergeCell ref="AG52:AH52"/>
    <mergeCell ref="B53:D53"/>
    <mergeCell ref="AC53:AD53"/>
    <mergeCell ref="AG53:AH53"/>
    <mergeCell ref="B54:D54"/>
    <mergeCell ref="AC54:AD54"/>
    <mergeCell ref="AG54:AH54"/>
    <mergeCell ref="B55:D55"/>
    <mergeCell ref="AC55:AD55"/>
    <mergeCell ref="AG55:AH55"/>
    <mergeCell ref="B56:D56"/>
    <mergeCell ref="AC56:AD56"/>
    <mergeCell ref="AG56:AH56"/>
    <mergeCell ref="B57:D57"/>
    <mergeCell ref="AC57:AD57"/>
    <mergeCell ref="AG57:AH57"/>
    <mergeCell ref="B58:D58"/>
    <mergeCell ref="AC58:AD58"/>
    <mergeCell ref="AG58:AH58"/>
    <mergeCell ref="B59:D59"/>
    <mergeCell ref="AC59:AD59"/>
    <mergeCell ref="AG59:AH59"/>
    <mergeCell ref="B60:D60"/>
    <mergeCell ref="AC60:AD60"/>
    <mergeCell ref="AG60:AH60"/>
    <mergeCell ref="B61:D61"/>
    <mergeCell ref="AC61:AD61"/>
    <mergeCell ref="AG61:AH61"/>
    <mergeCell ref="B62:D62"/>
    <mergeCell ref="AC62:AD62"/>
    <mergeCell ref="AG62:AH62"/>
    <mergeCell ref="B63:D63"/>
    <mergeCell ref="AC63:AD63"/>
    <mergeCell ref="AG63:AH63"/>
    <mergeCell ref="B64:D64"/>
    <mergeCell ref="AC64:AD64"/>
    <mergeCell ref="AG64:AH64"/>
    <mergeCell ref="B65:D65"/>
    <mergeCell ref="AC65:AD65"/>
    <mergeCell ref="AG65:AH65"/>
    <mergeCell ref="B66:D66"/>
    <mergeCell ref="AC66:AD66"/>
    <mergeCell ref="AG66:AH66"/>
    <mergeCell ref="B67:D67"/>
    <mergeCell ref="AC67:AD67"/>
    <mergeCell ref="AG67:AH67"/>
    <mergeCell ref="B68:D68"/>
    <mergeCell ref="AC68:AD68"/>
    <mergeCell ref="AG68:AH68"/>
    <mergeCell ref="B69:D69"/>
    <mergeCell ref="AC69:AD69"/>
    <mergeCell ref="AG69:AH69"/>
    <mergeCell ref="AG70:AH70"/>
    <mergeCell ref="B71:F71"/>
    <mergeCell ref="AG71:AH71"/>
    <mergeCell ref="AG72:AH72"/>
    <mergeCell ref="E73:E74"/>
    <mergeCell ref="F73:F74"/>
    <mergeCell ref="G73:G74"/>
    <mergeCell ref="H73:H74"/>
    <mergeCell ref="I73:J73"/>
    <mergeCell ref="K73:N73"/>
    <mergeCell ref="AG73:AH73"/>
    <mergeCell ref="B74:D75"/>
    <mergeCell ref="I74:I75"/>
    <mergeCell ref="AG74:AH74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112:F112"/>
    <mergeCell ref="B118:F118"/>
    <mergeCell ref="B94:D94"/>
    <mergeCell ref="B95:D95"/>
    <mergeCell ref="B96:D96"/>
    <mergeCell ref="B98:F98"/>
    <mergeCell ref="B100:D100"/>
    <mergeCell ref="B101:C102"/>
    <mergeCell ref="B103:C103"/>
    <mergeCell ref="B104:C104"/>
    <mergeCell ref="B106:F106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AC090"/>
  </sheetPr>
  <dimension ref="A1:R191"/>
  <sheetViews>
    <sheetView zoomScale="160" zoomScaleNormal="160" workbookViewId="0">
      <selection activeCell="B167" sqref="B167"/>
    </sheetView>
  </sheetViews>
  <sheetFormatPr defaultColWidth="7.6640625" defaultRowHeight="13.8" x14ac:dyDescent="0.3"/>
  <cols>
    <col min="1" max="1" width="7.6640625" style="34"/>
    <col min="2" max="16384" width="7.6640625" style="62"/>
  </cols>
  <sheetData>
    <row r="1" spans="1:18" ht="14.1" customHeight="1" x14ac:dyDescent="0.3">
      <c r="B1" s="146" t="str">
        <f>'Levantamento Campo'!B1</f>
        <v>Prj Estande de Tiro (50 m) – 5º BIL (Amv)</v>
      </c>
      <c r="C1" s="146"/>
      <c r="D1" s="146"/>
      <c r="E1" s="146"/>
      <c r="F1" s="146"/>
    </row>
    <row r="2" spans="1:18" ht="14.1" customHeight="1" x14ac:dyDescent="0.3">
      <c r="B2" s="45"/>
      <c r="C2" s="45"/>
    </row>
    <row r="3" spans="1:18" ht="14.1" customHeight="1" x14ac:dyDescent="0.3">
      <c r="A3" s="34" t="s">
        <v>109</v>
      </c>
      <c r="B3" s="143" t="s">
        <v>110</v>
      </c>
      <c r="C3" s="143"/>
      <c r="D3" s="143"/>
    </row>
    <row r="4" spans="1:18" ht="14.1" customHeight="1" x14ac:dyDescent="0.3">
      <c r="B4" s="11"/>
      <c r="C4" s="11"/>
      <c r="D4" s="11"/>
    </row>
    <row r="5" spans="1:18" ht="14.1" customHeight="1" x14ac:dyDescent="0.3">
      <c r="A5" s="34" t="s">
        <v>111</v>
      </c>
      <c r="B5" s="143" t="s">
        <v>112</v>
      </c>
      <c r="C5" s="143"/>
      <c r="D5" s="143"/>
      <c r="E5" s="143"/>
    </row>
    <row r="6" spans="1:18" ht="14.1" customHeight="1" x14ac:dyDescent="0.3">
      <c r="B6" s="11"/>
      <c r="C6" s="11"/>
      <c r="D6" s="11"/>
    </row>
    <row r="7" spans="1:18" ht="14.1" customHeight="1" x14ac:dyDescent="0.3">
      <c r="B7" s="11"/>
      <c r="C7" s="11"/>
      <c r="D7" s="11"/>
    </row>
    <row r="8" spans="1:18" ht="14.1" customHeight="1" x14ac:dyDescent="0.3">
      <c r="B8" s="11"/>
      <c r="C8" s="11"/>
      <c r="D8" s="11"/>
    </row>
    <row r="9" spans="1:18" ht="14.1" customHeight="1" x14ac:dyDescent="0.3">
      <c r="B9" s="11"/>
      <c r="C9" s="11"/>
      <c r="D9" s="11"/>
    </row>
    <row r="10" spans="1:18" ht="14.1" customHeight="1" x14ac:dyDescent="0.3">
      <c r="B10" s="11"/>
      <c r="C10" s="11"/>
      <c r="D10" s="11"/>
    </row>
    <row r="11" spans="1:18" ht="14.1" customHeight="1" x14ac:dyDescent="0.3">
      <c r="B11" s="11"/>
      <c r="C11" s="11"/>
      <c r="D11" s="11"/>
    </row>
    <row r="12" spans="1:18" ht="14.1" customHeight="1" x14ac:dyDescent="0.3">
      <c r="B12" s="11"/>
      <c r="C12" s="11"/>
      <c r="D12" s="11"/>
    </row>
    <row r="13" spans="1:18" ht="14.1" customHeight="1" x14ac:dyDescent="0.3">
      <c r="A13" s="34" t="s">
        <v>113</v>
      </c>
      <c r="B13" s="143" t="s">
        <v>114</v>
      </c>
      <c r="C13" s="143"/>
      <c r="D13" s="143"/>
      <c r="E13" s="143"/>
    </row>
    <row r="14" spans="1:18" ht="14.1" customHeight="1" x14ac:dyDescent="0.3">
      <c r="B14" s="57"/>
      <c r="C14" s="57"/>
    </row>
    <row r="15" spans="1:18" ht="14.1" customHeight="1" x14ac:dyDescent="0.3">
      <c r="B15" s="116" t="s">
        <v>5</v>
      </c>
      <c r="C15" s="116"/>
      <c r="D15" s="116"/>
      <c r="E15" s="147" t="s">
        <v>11</v>
      </c>
      <c r="F15" s="9" t="s">
        <v>115</v>
      </c>
      <c r="G15" s="9" t="s">
        <v>7</v>
      </c>
      <c r="H15" s="9" t="s">
        <v>6</v>
      </c>
      <c r="I15" s="9" t="s">
        <v>8</v>
      </c>
      <c r="J15" s="9" t="s">
        <v>116</v>
      </c>
      <c r="K15" s="9" t="s">
        <v>10</v>
      </c>
      <c r="L15" s="9" t="s">
        <v>12</v>
      </c>
      <c r="M15" s="15"/>
      <c r="N15" s="15"/>
      <c r="O15" s="15"/>
      <c r="P15" s="15"/>
      <c r="Q15" s="15"/>
      <c r="R15" s="15"/>
    </row>
    <row r="16" spans="1:18" ht="14.1" customHeight="1" x14ac:dyDescent="0.3">
      <c r="B16" s="116"/>
      <c r="C16" s="116"/>
      <c r="D16" s="116"/>
      <c r="E16" s="147"/>
      <c r="F16" s="17" t="s">
        <v>117</v>
      </c>
      <c r="G16" s="17" t="s">
        <v>13</v>
      </c>
      <c r="H16" s="17" t="s">
        <v>13</v>
      </c>
      <c r="I16" s="17" t="s">
        <v>13</v>
      </c>
      <c r="J16" s="17" t="s">
        <v>15</v>
      </c>
      <c r="K16" s="17" t="s">
        <v>14</v>
      </c>
      <c r="L16" s="17" t="s">
        <v>15</v>
      </c>
      <c r="M16" s="21"/>
      <c r="N16" s="21"/>
      <c r="O16" s="21"/>
      <c r="P16" s="21"/>
      <c r="Q16" s="21"/>
      <c r="R16" s="21"/>
    </row>
    <row r="17" spans="2:18" ht="14.1" customHeight="1" x14ac:dyDescent="0.3">
      <c r="B17" s="144">
        <f>'Levantamento Campo'!B8</f>
        <v>0</v>
      </c>
      <c r="C17" s="144"/>
      <c r="D17" s="144"/>
      <c r="E17" s="63"/>
      <c r="F17" s="39"/>
      <c r="G17" s="39"/>
      <c r="H17" s="39"/>
      <c r="I17" s="39"/>
      <c r="J17" s="39"/>
      <c r="K17" s="39"/>
      <c r="L17" s="39"/>
      <c r="M17" s="42"/>
      <c r="N17" s="42"/>
      <c r="O17" s="42"/>
      <c r="P17" s="42"/>
      <c r="Q17" s="42"/>
      <c r="R17" s="42"/>
    </row>
    <row r="18" spans="2:18" ht="14.1" customHeight="1" x14ac:dyDescent="0.3">
      <c r="B18" s="144">
        <f>'Levantamento Campo'!B9</f>
        <v>0</v>
      </c>
      <c r="C18" s="144"/>
      <c r="D18" s="144"/>
      <c r="E18" s="63"/>
      <c r="F18" s="39"/>
      <c r="G18" s="39"/>
      <c r="H18" s="39"/>
      <c r="I18" s="39"/>
      <c r="J18" s="39"/>
      <c r="K18" s="39"/>
      <c r="L18" s="39"/>
      <c r="M18" s="42"/>
      <c r="N18" s="42"/>
      <c r="O18" s="42"/>
      <c r="P18" s="42"/>
      <c r="Q18" s="42"/>
      <c r="R18" s="42"/>
    </row>
    <row r="19" spans="2:18" ht="14.1" customHeight="1" x14ac:dyDescent="0.3">
      <c r="B19" s="144">
        <f>'Levantamento Campo'!B10</f>
        <v>0</v>
      </c>
      <c r="C19" s="144"/>
      <c r="D19" s="144"/>
      <c r="E19" s="63"/>
      <c r="F19" s="39"/>
      <c r="G19" s="39"/>
      <c r="H19" s="39"/>
      <c r="I19" s="39"/>
      <c r="J19" s="39"/>
      <c r="K19" s="39"/>
      <c r="L19" s="39"/>
      <c r="M19" s="42"/>
      <c r="N19" s="42"/>
      <c r="O19" s="42"/>
      <c r="P19" s="42"/>
      <c r="Q19" s="42"/>
      <c r="R19" s="42"/>
    </row>
    <row r="20" spans="2:18" ht="14.1" customHeight="1" x14ac:dyDescent="0.3">
      <c r="B20" s="144">
        <f>'Levantamento Campo'!B11</f>
        <v>0</v>
      </c>
      <c r="C20" s="144"/>
      <c r="D20" s="144"/>
      <c r="E20" s="63"/>
      <c r="F20" s="39"/>
      <c r="G20" s="39"/>
      <c r="H20" s="39"/>
      <c r="I20" s="39"/>
      <c r="J20" s="39"/>
      <c r="K20" s="39"/>
      <c r="L20" s="39"/>
      <c r="M20" s="42"/>
      <c r="N20" s="42"/>
      <c r="O20" s="42"/>
      <c r="P20" s="42"/>
      <c r="Q20" s="42"/>
      <c r="R20" s="42"/>
    </row>
    <row r="21" spans="2:18" ht="14.1" customHeight="1" x14ac:dyDescent="0.3">
      <c r="B21" s="144">
        <f>'Levantamento Campo'!B12</f>
        <v>0</v>
      </c>
      <c r="C21" s="144"/>
      <c r="D21" s="144"/>
      <c r="E21" s="63"/>
      <c r="F21" s="39"/>
      <c r="G21" s="39"/>
      <c r="H21" s="39"/>
      <c r="I21" s="39"/>
      <c r="J21" s="39"/>
      <c r="K21" s="39"/>
      <c r="L21" s="39"/>
      <c r="M21" s="42"/>
      <c r="N21" s="42"/>
      <c r="O21" s="42"/>
      <c r="P21" s="42"/>
      <c r="Q21" s="42"/>
      <c r="R21" s="42"/>
    </row>
    <row r="22" spans="2:18" ht="14.1" customHeight="1" x14ac:dyDescent="0.3">
      <c r="B22" s="144">
        <f>'Levantamento Campo'!B13</f>
        <v>0</v>
      </c>
      <c r="C22" s="144"/>
      <c r="D22" s="144"/>
      <c r="E22" s="63"/>
      <c r="F22" s="39"/>
      <c r="G22" s="39"/>
      <c r="H22" s="39"/>
      <c r="I22" s="39"/>
      <c r="J22" s="39"/>
      <c r="K22" s="39"/>
      <c r="L22" s="39"/>
      <c r="M22" s="42"/>
      <c r="N22" s="42"/>
      <c r="O22" s="42"/>
      <c r="P22" s="42"/>
      <c r="Q22" s="42"/>
      <c r="R22" s="42"/>
    </row>
    <row r="23" spans="2:18" ht="14.1" customHeight="1" x14ac:dyDescent="0.3">
      <c r="B23" s="144">
        <f>'Levantamento Campo'!B14</f>
        <v>0</v>
      </c>
      <c r="C23" s="144"/>
      <c r="D23" s="144"/>
      <c r="E23" s="63"/>
      <c r="F23" s="39"/>
      <c r="G23" s="39"/>
      <c r="H23" s="39"/>
      <c r="I23" s="39"/>
      <c r="J23" s="39"/>
      <c r="K23" s="39"/>
      <c r="L23" s="39"/>
      <c r="M23" s="42"/>
      <c r="N23" s="42"/>
      <c r="O23" s="42"/>
      <c r="P23" s="42"/>
      <c r="Q23" s="42"/>
      <c r="R23" s="42"/>
    </row>
    <row r="24" spans="2:18" ht="14.1" customHeight="1" x14ac:dyDescent="0.3">
      <c r="B24" s="144">
        <f>'Levantamento Campo'!B15</f>
        <v>0</v>
      </c>
      <c r="C24" s="144"/>
      <c r="D24" s="144"/>
      <c r="E24" s="63"/>
      <c r="F24" s="39"/>
      <c r="G24" s="39"/>
      <c r="H24" s="39"/>
      <c r="I24" s="39"/>
      <c r="J24" s="39"/>
      <c r="K24" s="39"/>
      <c r="L24" s="39"/>
      <c r="M24" s="42"/>
      <c r="N24" s="42"/>
      <c r="O24" s="42"/>
      <c r="P24" s="42"/>
      <c r="Q24" s="42"/>
      <c r="R24" s="42"/>
    </row>
    <row r="25" spans="2:18" ht="14.1" customHeight="1" x14ac:dyDescent="0.3">
      <c r="B25" s="144">
        <f>'Levantamento Campo'!B16</f>
        <v>0</v>
      </c>
      <c r="C25" s="144"/>
      <c r="D25" s="144"/>
      <c r="E25" s="63"/>
      <c r="F25" s="39"/>
      <c r="G25" s="39"/>
      <c r="H25" s="39"/>
      <c r="I25" s="39"/>
      <c r="J25" s="39"/>
      <c r="K25" s="39"/>
      <c r="L25" s="39"/>
      <c r="M25" s="42"/>
      <c r="N25" s="42"/>
      <c r="O25" s="42"/>
      <c r="P25" s="42"/>
      <c r="Q25" s="42"/>
      <c r="R25" s="42"/>
    </row>
    <row r="26" spans="2:18" ht="14.1" customHeight="1" x14ac:dyDescent="0.3">
      <c r="B26" s="144">
        <f>'Levantamento Campo'!B17</f>
        <v>0</v>
      </c>
      <c r="C26" s="144"/>
      <c r="D26" s="144"/>
      <c r="E26" s="63"/>
      <c r="F26" s="39"/>
      <c r="G26" s="39"/>
      <c r="H26" s="39"/>
      <c r="I26" s="39"/>
      <c r="J26" s="39"/>
      <c r="K26" s="39"/>
      <c r="L26" s="39"/>
      <c r="M26" s="42"/>
      <c r="N26" s="42"/>
      <c r="O26" s="42"/>
      <c r="P26" s="42"/>
      <c r="Q26" s="42"/>
      <c r="R26" s="42"/>
    </row>
    <row r="27" spans="2:18" ht="14.1" customHeight="1" x14ac:dyDescent="0.3">
      <c r="B27" s="144">
        <f>'Levantamento Campo'!B18</f>
        <v>0</v>
      </c>
      <c r="C27" s="144"/>
      <c r="D27" s="144"/>
      <c r="E27" s="63"/>
      <c r="F27" s="39"/>
      <c r="G27" s="39"/>
      <c r="H27" s="39"/>
      <c r="I27" s="39"/>
      <c r="J27" s="39"/>
      <c r="K27" s="39"/>
      <c r="L27" s="39"/>
      <c r="M27" s="42"/>
      <c r="N27" s="42"/>
      <c r="O27" s="42"/>
      <c r="P27" s="42"/>
      <c r="Q27" s="42"/>
      <c r="R27" s="42"/>
    </row>
    <row r="28" spans="2:18" ht="14.1" customHeight="1" x14ac:dyDescent="0.3">
      <c r="B28" s="144">
        <f>'Levantamento Campo'!B19</f>
        <v>0</v>
      </c>
      <c r="C28" s="144"/>
      <c r="D28" s="144"/>
      <c r="E28" s="63"/>
      <c r="F28" s="39"/>
      <c r="G28" s="39"/>
      <c r="H28" s="39"/>
      <c r="I28" s="39"/>
      <c r="J28" s="39"/>
      <c r="K28" s="39"/>
      <c r="L28" s="39"/>
      <c r="M28" s="42"/>
      <c r="N28" s="42"/>
      <c r="O28" s="42"/>
      <c r="P28" s="42"/>
      <c r="Q28" s="42"/>
      <c r="R28" s="42"/>
    </row>
    <row r="29" spans="2:18" ht="14.1" customHeight="1" x14ac:dyDescent="0.3">
      <c r="B29" s="144">
        <f>'Levantamento Campo'!B20</f>
        <v>0</v>
      </c>
      <c r="C29" s="144"/>
      <c r="D29" s="144"/>
      <c r="E29" s="63"/>
      <c r="F29" s="39"/>
      <c r="G29" s="39"/>
      <c r="H29" s="39"/>
      <c r="I29" s="39"/>
      <c r="J29" s="39"/>
      <c r="K29" s="39"/>
      <c r="L29" s="39"/>
      <c r="M29" s="42"/>
      <c r="N29" s="42"/>
      <c r="O29" s="42"/>
      <c r="P29" s="42"/>
      <c r="Q29" s="42"/>
      <c r="R29" s="42"/>
    </row>
    <row r="30" spans="2:18" ht="14.1" customHeight="1" x14ac:dyDescent="0.3">
      <c r="B30" s="144">
        <f>'Levantamento Campo'!B21</f>
        <v>0</v>
      </c>
      <c r="C30" s="144"/>
      <c r="D30" s="144"/>
      <c r="E30" s="63"/>
      <c r="F30" s="39"/>
      <c r="G30" s="39"/>
      <c r="H30" s="39"/>
      <c r="I30" s="39"/>
      <c r="J30" s="39"/>
      <c r="K30" s="39"/>
      <c r="L30" s="39"/>
      <c r="M30" s="42"/>
      <c r="N30" s="42"/>
      <c r="O30" s="42"/>
      <c r="P30" s="42"/>
      <c r="Q30" s="42"/>
      <c r="R30" s="42"/>
    </row>
    <row r="31" spans="2:18" ht="14.1" customHeight="1" x14ac:dyDescent="0.3">
      <c r="B31" s="144">
        <f>'Levantamento Campo'!B22</f>
        <v>0</v>
      </c>
      <c r="C31" s="144"/>
      <c r="D31" s="144"/>
      <c r="E31" s="63"/>
      <c r="F31" s="39"/>
      <c r="G31" s="39"/>
      <c r="H31" s="39"/>
      <c r="I31" s="39"/>
      <c r="J31" s="39"/>
      <c r="K31" s="39"/>
      <c r="L31" s="39"/>
      <c r="M31" s="42"/>
      <c r="N31" s="42"/>
      <c r="O31" s="42"/>
      <c r="P31" s="42"/>
      <c r="Q31" s="42"/>
      <c r="R31" s="42"/>
    </row>
    <row r="32" spans="2:18" ht="14.1" customHeight="1" x14ac:dyDescent="0.3">
      <c r="B32" s="144">
        <f>'Levantamento Campo'!B23</f>
        <v>0</v>
      </c>
      <c r="C32" s="144"/>
      <c r="D32" s="144"/>
      <c r="E32" s="63"/>
      <c r="F32" s="39"/>
      <c r="G32" s="39"/>
      <c r="H32" s="39"/>
      <c r="I32" s="39"/>
      <c r="J32" s="39"/>
      <c r="K32" s="39"/>
      <c r="L32" s="39"/>
      <c r="M32" s="42"/>
      <c r="N32" s="42"/>
      <c r="O32" s="42"/>
      <c r="P32" s="42"/>
      <c r="Q32" s="42"/>
      <c r="R32" s="42"/>
    </row>
    <row r="33" spans="1:18" ht="14.1" customHeight="1" x14ac:dyDescent="0.3">
      <c r="B33" s="144">
        <f>'Levantamento Campo'!B83</f>
        <v>0</v>
      </c>
      <c r="C33" s="144"/>
      <c r="D33" s="144"/>
      <c r="E33" s="63"/>
      <c r="F33" s="39"/>
      <c r="G33" s="39"/>
      <c r="H33" s="39"/>
      <c r="I33" s="39"/>
      <c r="J33" s="39"/>
      <c r="K33" s="39"/>
      <c r="L33" s="39"/>
      <c r="M33" s="42"/>
      <c r="N33" s="42"/>
      <c r="O33" s="42"/>
      <c r="P33" s="42"/>
      <c r="Q33" s="42"/>
      <c r="R33" s="42"/>
    </row>
    <row r="34" spans="1:18" ht="14.1" customHeight="1" x14ac:dyDescent="0.3">
      <c r="B34" s="144">
        <f>'Levantamento Campo'!B84</f>
        <v>0</v>
      </c>
      <c r="C34" s="144"/>
      <c r="D34" s="144"/>
      <c r="E34" s="63"/>
      <c r="F34" s="39"/>
      <c r="G34" s="39"/>
      <c r="H34" s="39"/>
      <c r="I34" s="39"/>
      <c r="J34" s="39"/>
      <c r="K34" s="39"/>
      <c r="L34" s="39"/>
      <c r="M34" s="42"/>
      <c r="N34" s="42"/>
      <c r="O34" s="42"/>
      <c r="P34" s="42"/>
      <c r="Q34" s="42"/>
      <c r="R34" s="42"/>
    </row>
    <row r="35" spans="1:18" ht="14.1" customHeight="1" x14ac:dyDescent="0.3">
      <c r="B35" s="144">
        <f>'Levantamento Campo'!B85</f>
        <v>0</v>
      </c>
      <c r="C35" s="144"/>
      <c r="D35" s="144"/>
      <c r="E35" s="63"/>
      <c r="F35" s="39"/>
      <c r="G35" s="39"/>
      <c r="H35" s="39"/>
      <c r="I35" s="39"/>
      <c r="J35" s="39"/>
      <c r="K35" s="39"/>
      <c r="L35" s="39"/>
      <c r="M35" s="42"/>
      <c r="N35" s="42"/>
      <c r="O35" s="42"/>
      <c r="P35" s="42"/>
      <c r="Q35" s="42"/>
      <c r="R35" s="42"/>
    </row>
    <row r="36" spans="1:18" ht="14.1" customHeight="1" x14ac:dyDescent="0.3">
      <c r="B36" s="144">
        <f>'Levantamento Campo'!B108</f>
        <v>0</v>
      </c>
      <c r="C36" s="144"/>
      <c r="D36" s="144"/>
      <c r="E36" s="63"/>
      <c r="F36" s="39"/>
      <c r="G36" s="39"/>
      <c r="H36" s="39"/>
      <c r="I36" s="39"/>
      <c r="J36" s="39"/>
      <c r="K36" s="39"/>
      <c r="L36" s="39"/>
      <c r="M36" s="42"/>
      <c r="N36" s="42"/>
      <c r="O36" s="42"/>
      <c r="P36" s="42"/>
      <c r="Q36" s="42"/>
      <c r="R36" s="42"/>
    </row>
    <row r="37" spans="1:18" ht="14.1" customHeight="1" x14ac:dyDescent="0.3">
      <c r="B37" s="145" t="s">
        <v>29</v>
      </c>
      <c r="C37" s="145"/>
      <c r="D37" s="145"/>
      <c r="E37" s="145"/>
      <c r="F37" s="145"/>
      <c r="G37" s="145"/>
      <c r="H37" s="145"/>
      <c r="I37" s="145"/>
      <c r="J37" s="54">
        <f>SUM(J17:J36)</f>
        <v>0</v>
      </c>
      <c r="K37" s="54">
        <f>SUM(K17:K36)</f>
        <v>0</v>
      </c>
      <c r="L37" s="54">
        <f>SUM(L17:L36)</f>
        <v>0</v>
      </c>
      <c r="M37" s="56"/>
      <c r="N37" s="56"/>
      <c r="O37" s="56"/>
      <c r="P37" s="56"/>
      <c r="Q37" s="56"/>
      <c r="R37" s="56"/>
    </row>
    <row r="38" spans="1:18" ht="14.1" customHeight="1" x14ac:dyDescent="0.3">
      <c r="B38" s="8"/>
      <c r="C38" s="8"/>
      <c r="D38" s="8"/>
      <c r="E38" s="8"/>
      <c r="F38" s="8"/>
      <c r="G38" s="8"/>
      <c r="H38" s="8"/>
      <c r="I38" s="8"/>
      <c r="J38" s="56"/>
      <c r="K38" s="56"/>
      <c r="L38" s="56"/>
      <c r="M38" s="56"/>
      <c r="N38" s="56"/>
      <c r="O38" s="56"/>
      <c r="P38" s="56"/>
      <c r="Q38" s="56"/>
      <c r="R38" s="56"/>
    </row>
    <row r="39" spans="1:18" ht="14.1" customHeight="1" x14ac:dyDescent="0.3">
      <c r="A39" s="34" t="s">
        <v>118</v>
      </c>
      <c r="B39" s="143" t="s">
        <v>119</v>
      </c>
      <c r="C39" s="143"/>
      <c r="D39" s="143"/>
      <c r="E39" s="143"/>
      <c r="F39" s="8"/>
      <c r="G39" s="8"/>
      <c r="H39" s="8"/>
      <c r="I39" s="8"/>
      <c r="J39" s="56"/>
      <c r="K39" s="56"/>
      <c r="L39" s="56"/>
      <c r="M39" s="56"/>
      <c r="N39" s="56"/>
      <c r="O39" s="56"/>
      <c r="P39" s="56"/>
      <c r="Q39" s="56"/>
      <c r="R39" s="56"/>
    </row>
    <row r="40" spans="1:18" ht="14.1" customHeight="1" x14ac:dyDescent="0.3">
      <c r="B40" s="8"/>
      <c r="C40" s="8"/>
      <c r="D40" s="8"/>
      <c r="E40" s="8"/>
      <c r="F40" s="8"/>
      <c r="G40" s="8"/>
      <c r="H40" s="8"/>
      <c r="I40" s="8"/>
      <c r="J40" s="56"/>
      <c r="K40" s="56"/>
      <c r="L40" s="56"/>
      <c r="M40" s="56"/>
      <c r="N40" s="56"/>
      <c r="O40" s="56"/>
      <c r="P40" s="56"/>
      <c r="Q40" s="56"/>
      <c r="R40" s="56"/>
    </row>
    <row r="41" spans="1:18" ht="14.1" customHeight="1" x14ac:dyDescent="0.3">
      <c r="B41" s="116" t="s">
        <v>5</v>
      </c>
      <c r="C41" s="116"/>
      <c r="D41" s="116"/>
      <c r="E41" s="9" t="s">
        <v>115</v>
      </c>
      <c r="F41" s="9" t="s">
        <v>7</v>
      </c>
      <c r="G41" s="9" t="s">
        <v>6</v>
      </c>
      <c r="H41" s="9" t="s">
        <v>8</v>
      </c>
      <c r="I41" s="9" t="s">
        <v>10</v>
      </c>
      <c r="J41" s="9" t="s">
        <v>12</v>
      </c>
      <c r="K41" s="56"/>
      <c r="L41" s="56"/>
      <c r="M41" s="56"/>
      <c r="N41" s="56"/>
      <c r="O41" s="56"/>
      <c r="P41" s="56"/>
      <c r="Q41" s="56"/>
      <c r="R41" s="56"/>
    </row>
    <row r="42" spans="1:18" ht="14.1" customHeight="1" x14ac:dyDescent="0.3">
      <c r="B42" s="116"/>
      <c r="C42" s="116"/>
      <c r="D42" s="116"/>
      <c r="E42" s="17" t="s">
        <v>117</v>
      </c>
      <c r="F42" s="17" t="s">
        <v>13</v>
      </c>
      <c r="G42" s="17" t="s">
        <v>13</v>
      </c>
      <c r="H42" s="17" t="s">
        <v>13</v>
      </c>
      <c r="I42" s="17" t="s">
        <v>14</v>
      </c>
      <c r="J42" s="17" t="s">
        <v>15</v>
      </c>
      <c r="K42" s="56"/>
      <c r="L42" s="56"/>
      <c r="M42" s="56"/>
      <c r="N42" s="56"/>
      <c r="O42" s="56"/>
      <c r="P42" s="56"/>
      <c r="Q42" s="56"/>
      <c r="R42" s="56"/>
    </row>
    <row r="43" spans="1:18" ht="14.1" customHeight="1" x14ac:dyDescent="0.3">
      <c r="B43" s="134">
        <f>'Levantamento Campo'!B8</f>
        <v>0</v>
      </c>
      <c r="C43" s="134"/>
      <c r="D43" s="134"/>
      <c r="E43" s="17"/>
      <c r="F43" s="17"/>
      <c r="G43" s="17"/>
      <c r="H43" s="17"/>
      <c r="I43" s="17"/>
      <c r="J43" s="17"/>
      <c r="K43" s="56"/>
      <c r="L43" s="56"/>
      <c r="M43" s="56"/>
      <c r="N43" s="56"/>
      <c r="O43" s="56"/>
      <c r="P43" s="56"/>
      <c r="Q43" s="56"/>
      <c r="R43" s="56"/>
    </row>
    <row r="44" spans="1:18" ht="14.1" customHeight="1" x14ac:dyDescent="0.3">
      <c r="B44" s="134">
        <f>'Levantamento Campo'!B9</f>
        <v>0</v>
      </c>
      <c r="C44" s="134"/>
      <c r="D44" s="134"/>
      <c r="E44" s="17"/>
      <c r="F44" s="17"/>
      <c r="G44" s="17"/>
      <c r="H44" s="17"/>
      <c r="I44" s="17"/>
      <c r="J44" s="17"/>
      <c r="K44" s="56"/>
      <c r="L44" s="56"/>
      <c r="M44" s="56"/>
      <c r="N44" s="56"/>
      <c r="O44" s="56"/>
      <c r="P44" s="56"/>
      <c r="Q44" s="56"/>
      <c r="R44" s="56"/>
    </row>
    <row r="45" spans="1:18" ht="14.1" customHeight="1" x14ac:dyDescent="0.3">
      <c r="B45" s="134">
        <f>'Levantamento Campo'!B10</f>
        <v>0</v>
      </c>
      <c r="C45" s="134"/>
      <c r="D45" s="134"/>
      <c r="E45" s="17"/>
      <c r="F45" s="17"/>
      <c r="G45" s="17"/>
      <c r="H45" s="17"/>
      <c r="I45" s="17"/>
      <c r="J45" s="17"/>
      <c r="K45" s="56"/>
      <c r="L45" s="56"/>
      <c r="M45" s="56"/>
      <c r="N45" s="56"/>
      <c r="O45" s="56"/>
      <c r="P45" s="56"/>
      <c r="Q45" s="56"/>
      <c r="R45" s="56"/>
    </row>
    <row r="46" spans="1:18" ht="14.1" customHeight="1" x14ac:dyDescent="0.3">
      <c r="B46" s="134">
        <f>'Levantamento Campo'!B11</f>
        <v>0</v>
      </c>
      <c r="C46" s="134"/>
      <c r="D46" s="134"/>
      <c r="E46" s="17"/>
      <c r="F46" s="17"/>
      <c r="G46" s="17"/>
      <c r="H46" s="17"/>
      <c r="I46" s="17"/>
      <c r="J46" s="17"/>
      <c r="K46" s="56"/>
      <c r="L46" s="56"/>
      <c r="M46" s="56"/>
      <c r="N46" s="56"/>
      <c r="O46" s="56"/>
      <c r="P46" s="56"/>
      <c r="Q46" s="56"/>
      <c r="R46" s="56"/>
    </row>
    <row r="47" spans="1:18" ht="14.1" customHeight="1" x14ac:dyDescent="0.3">
      <c r="B47" s="134">
        <f>'Levantamento Campo'!B12</f>
        <v>0</v>
      </c>
      <c r="C47" s="134"/>
      <c r="D47" s="134"/>
      <c r="E47" s="17"/>
      <c r="F47" s="17"/>
      <c r="G47" s="17"/>
      <c r="H47" s="17"/>
      <c r="I47" s="17"/>
      <c r="J47" s="17"/>
      <c r="K47" s="56"/>
      <c r="L47" s="56"/>
      <c r="M47" s="56"/>
      <c r="N47" s="56"/>
      <c r="O47" s="56"/>
      <c r="P47" s="56"/>
      <c r="Q47" s="56"/>
      <c r="R47" s="56"/>
    </row>
    <row r="48" spans="1:18" ht="14.1" customHeight="1" x14ac:dyDescent="0.3">
      <c r="B48" s="134">
        <f>'Levantamento Campo'!B13</f>
        <v>0</v>
      </c>
      <c r="C48" s="134"/>
      <c r="D48" s="134"/>
      <c r="E48" s="17"/>
      <c r="F48" s="17"/>
      <c r="G48" s="17"/>
      <c r="H48" s="17"/>
      <c r="I48" s="17"/>
      <c r="J48" s="17"/>
      <c r="K48" s="56"/>
      <c r="L48" s="56"/>
      <c r="M48" s="56"/>
      <c r="N48" s="56"/>
      <c r="O48" s="56"/>
      <c r="P48" s="56"/>
      <c r="Q48" s="56"/>
      <c r="R48" s="56"/>
    </row>
    <row r="49" spans="2:18" ht="14.1" customHeight="1" x14ac:dyDescent="0.3">
      <c r="B49" s="134">
        <f>'Levantamento Campo'!B14</f>
        <v>0</v>
      </c>
      <c r="C49" s="134"/>
      <c r="D49" s="134"/>
      <c r="E49" s="17"/>
      <c r="F49" s="17"/>
      <c r="G49" s="17"/>
      <c r="H49" s="17"/>
      <c r="I49" s="17"/>
      <c r="J49" s="17"/>
      <c r="K49" s="56"/>
      <c r="L49" s="56"/>
      <c r="M49" s="56"/>
      <c r="N49" s="56"/>
      <c r="O49" s="56"/>
      <c r="P49" s="56"/>
      <c r="Q49" s="56"/>
      <c r="R49" s="56"/>
    </row>
    <row r="50" spans="2:18" ht="14.1" customHeight="1" x14ac:dyDescent="0.3">
      <c r="B50" s="134">
        <f>'Levantamento Campo'!B15</f>
        <v>0</v>
      </c>
      <c r="C50" s="134"/>
      <c r="D50" s="134"/>
      <c r="E50" s="39"/>
      <c r="F50" s="39"/>
      <c r="G50" s="39"/>
      <c r="H50" s="39"/>
      <c r="I50" s="39"/>
      <c r="J50" s="39"/>
      <c r="K50" s="56"/>
      <c r="L50" s="56"/>
      <c r="M50" s="56"/>
      <c r="N50" s="56"/>
      <c r="O50" s="56"/>
      <c r="P50" s="56"/>
      <c r="Q50" s="56"/>
      <c r="R50" s="56"/>
    </row>
    <row r="51" spans="2:18" ht="14.1" customHeight="1" x14ac:dyDescent="0.3">
      <c r="B51" s="134">
        <f>'Levantamento Campo'!B16</f>
        <v>0</v>
      </c>
      <c r="C51" s="134"/>
      <c r="D51" s="134"/>
      <c r="E51" s="39"/>
      <c r="F51" s="39"/>
      <c r="G51" s="39"/>
      <c r="H51" s="39"/>
      <c r="I51" s="39"/>
      <c r="J51" s="39"/>
      <c r="K51" s="56"/>
      <c r="L51" s="56"/>
      <c r="M51" s="56"/>
      <c r="N51" s="56"/>
      <c r="O51" s="56"/>
      <c r="P51" s="56"/>
      <c r="Q51" s="56"/>
      <c r="R51" s="56"/>
    </row>
    <row r="52" spans="2:18" ht="14.1" customHeight="1" x14ac:dyDescent="0.3">
      <c r="B52" s="134">
        <f>'Levantamento Campo'!B17</f>
        <v>0</v>
      </c>
      <c r="C52" s="134"/>
      <c r="D52" s="134"/>
      <c r="E52" s="39"/>
      <c r="F52" s="39"/>
      <c r="G52" s="39"/>
      <c r="H52" s="39"/>
      <c r="I52" s="39"/>
      <c r="J52" s="39"/>
      <c r="K52" s="56"/>
      <c r="L52" s="56"/>
      <c r="M52" s="56"/>
      <c r="N52" s="56"/>
      <c r="O52" s="56"/>
      <c r="P52" s="56"/>
      <c r="Q52" s="56"/>
      <c r="R52" s="56"/>
    </row>
    <row r="53" spans="2:18" ht="14.1" customHeight="1" x14ac:dyDescent="0.3">
      <c r="B53" s="134">
        <f>'Levantamento Campo'!B18</f>
        <v>0</v>
      </c>
      <c r="C53" s="134"/>
      <c r="D53" s="134"/>
      <c r="E53" s="39"/>
      <c r="F53" s="39"/>
      <c r="G53" s="39"/>
      <c r="H53" s="39"/>
      <c r="I53" s="39"/>
      <c r="J53" s="39"/>
      <c r="K53" s="56"/>
      <c r="L53" s="56"/>
      <c r="M53" s="56"/>
      <c r="N53" s="56"/>
      <c r="O53" s="56"/>
      <c r="P53" s="56"/>
      <c r="Q53" s="56"/>
      <c r="R53" s="56"/>
    </row>
    <row r="54" spans="2:18" ht="14.1" customHeight="1" x14ac:dyDescent="0.3">
      <c r="B54" s="134">
        <f>'Levantamento Campo'!B19</f>
        <v>0</v>
      </c>
      <c r="C54" s="134"/>
      <c r="D54" s="134"/>
      <c r="E54" s="39"/>
      <c r="F54" s="39"/>
      <c r="G54" s="39"/>
      <c r="H54" s="39"/>
      <c r="I54" s="39"/>
      <c r="J54" s="39"/>
      <c r="K54" s="56"/>
      <c r="L54" s="56"/>
      <c r="M54" s="56"/>
      <c r="N54" s="56"/>
      <c r="O54" s="56"/>
      <c r="P54" s="56"/>
      <c r="Q54" s="56"/>
      <c r="R54" s="56"/>
    </row>
    <row r="55" spans="2:18" ht="14.1" customHeight="1" x14ac:dyDescent="0.3">
      <c r="B55" s="134">
        <f>'Levantamento Campo'!B20</f>
        <v>0</v>
      </c>
      <c r="C55" s="134"/>
      <c r="D55" s="134"/>
      <c r="E55" s="39"/>
      <c r="F55" s="39"/>
      <c r="G55" s="39"/>
      <c r="H55" s="39"/>
      <c r="I55" s="39"/>
      <c r="J55" s="39"/>
      <c r="K55" s="56"/>
      <c r="L55" s="56"/>
      <c r="M55" s="56"/>
      <c r="N55" s="56"/>
      <c r="O55" s="56"/>
      <c r="P55" s="56"/>
      <c r="Q55" s="56"/>
      <c r="R55" s="56"/>
    </row>
    <row r="56" spans="2:18" ht="14.1" customHeight="1" x14ac:dyDescent="0.3">
      <c r="B56" s="134">
        <f>'Levantamento Campo'!B21</f>
        <v>0</v>
      </c>
      <c r="C56" s="134"/>
      <c r="D56" s="134"/>
      <c r="E56" s="39"/>
      <c r="F56" s="39"/>
      <c r="G56" s="39"/>
      <c r="H56" s="39"/>
      <c r="I56" s="39"/>
      <c r="J56" s="39"/>
      <c r="K56" s="56"/>
      <c r="L56" s="56"/>
      <c r="M56" s="56"/>
      <c r="N56" s="56"/>
      <c r="O56" s="56"/>
      <c r="P56" s="56"/>
      <c r="Q56" s="56"/>
      <c r="R56" s="56"/>
    </row>
    <row r="57" spans="2:18" ht="14.1" customHeight="1" x14ac:dyDescent="0.3">
      <c r="B57" s="134">
        <f>'Levantamento Campo'!B22</f>
        <v>0</v>
      </c>
      <c r="C57" s="134"/>
      <c r="D57" s="134"/>
      <c r="E57" s="39"/>
      <c r="F57" s="39"/>
      <c r="G57" s="39"/>
      <c r="H57" s="39"/>
      <c r="I57" s="39"/>
      <c r="J57" s="39"/>
      <c r="K57" s="56"/>
      <c r="L57" s="56"/>
      <c r="M57" s="56"/>
      <c r="N57" s="56"/>
      <c r="O57" s="56"/>
      <c r="P57" s="56"/>
      <c r="Q57" s="56"/>
      <c r="R57" s="56"/>
    </row>
    <row r="58" spans="2:18" ht="14.1" customHeight="1" x14ac:dyDescent="0.3">
      <c r="B58" s="134">
        <f>'Levantamento Campo'!B23</f>
        <v>0</v>
      </c>
      <c r="C58" s="134"/>
      <c r="D58" s="134"/>
      <c r="E58" s="39"/>
      <c r="F58" s="39"/>
      <c r="G58" s="39"/>
      <c r="H58" s="39"/>
      <c r="I58" s="39"/>
      <c r="J58" s="39"/>
      <c r="K58" s="56"/>
      <c r="L58" s="56"/>
      <c r="M58" s="56"/>
      <c r="N58" s="56"/>
      <c r="O58" s="56"/>
      <c r="P58" s="56"/>
      <c r="Q58" s="56"/>
      <c r="R58" s="56"/>
    </row>
    <row r="59" spans="2:18" ht="14.1" customHeight="1" x14ac:dyDescent="0.3">
      <c r="B59" s="134">
        <f>'Levantamento Campo'!B83</f>
        <v>0</v>
      </c>
      <c r="C59" s="134"/>
      <c r="D59" s="134"/>
      <c r="E59" s="39"/>
      <c r="F59" s="39"/>
      <c r="G59" s="39"/>
      <c r="H59" s="39"/>
      <c r="I59" s="39"/>
      <c r="J59" s="39"/>
      <c r="K59" s="56"/>
      <c r="L59" s="56"/>
      <c r="M59" s="56"/>
      <c r="N59" s="56"/>
      <c r="O59" s="56"/>
      <c r="P59" s="56"/>
      <c r="Q59" s="56"/>
      <c r="R59" s="56"/>
    </row>
    <row r="60" spans="2:18" ht="14.1" customHeight="1" x14ac:dyDescent="0.3">
      <c r="B60" s="134">
        <f>'Levantamento Campo'!B84</f>
        <v>0</v>
      </c>
      <c r="C60" s="134"/>
      <c r="D60" s="134"/>
      <c r="E60" s="39"/>
      <c r="F60" s="39"/>
      <c r="G60" s="39"/>
      <c r="H60" s="39"/>
      <c r="I60" s="39"/>
      <c r="J60" s="39"/>
      <c r="K60" s="56"/>
      <c r="L60" s="56"/>
      <c r="M60" s="56"/>
      <c r="N60" s="56"/>
      <c r="O60" s="56"/>
      <c r="P60" s="56"/>
      <c r="Q60" s="56"/>
      <c r="R60" s="56"/>
    </row>
    <row r="61" spans="2:18" ht="14.1" customHeight="1" x14ac:dyDescent="0.3">
      <c r="B61" s="134">
        <f>'Levantamento Campo'!B85</f>
        <v>0</v>
      </c>
      <c r="C61" s="134"/>
      <c r="D61" s="134"/>
      <c r="E61" s="39"/>
      <c r="F61" s="39"/>
      <c r="G61" s="39"/>
      <c r="H61" s="39"/>
      <c r="I61" s="39"/>
      <c r="J61" s="39"/>
      <c r="K61" s="56"/>
      <c r="L61" s="56"/>
      <c r="M61" s="56"/>
      <c r="N61" s="56"/>
      <c r="O61" s="56"/>
      <c r="P61" s="56"/>
      <c r="Q61" s="56"/>
      <c r="R61" s="56"/>
    </row>
    <row r="62" spans="2:18" x14ac:dyDescent="0.3">
      <c r="B62" s="134">
        <f>'Levantamento Campo'!B108</f>
        <v>0</v>
      </c>
      <c r="C62" s="134"/>
      <c r="D62" s="134"/>
      <c r="E62" s="39"/>
      <c r="F62" s="39"/>
      <c r="G62" s="39"/>
      <c r="H62" s="39"/>
      <c r="I62" s="39"/>
      <c r="J62" s="39"/>
    </row>
    <row r="63" spans="2:18" ht="14.1" customHeight="1" x14ac:dyDescent="0.3">
      <c r="B63" s="145" t="s">
        <v>29</v>
      </c>
      <c r="C63" s="145"/>
      <c r="D63" s="145"/>
      <c r="E63" s="145"/>
      <c r="F63" s="145"/>
      <c r="G63" s="145"/>
      <c r="H63" s="145"/>
      <c r="I63" s="54">
        <f>SUM(I42:I62)</f>
        <v>0</v>
      </c>
      <c r="J63" s="54">
        <f>SUM(J42:J62)</f>
        <v>0</v>
      </c>
    </row>
    <row r="64" spans="2:18" ht="14.1" customHeight="1" x14ac:dyDescent="0.3">
      <c r="D64" s="3"/>
      <c r="E64" s="56"/>
      <c r="F64" s="56"/>
      <c r="G64" s="56"/>
      <c r="H64" s="56"/>
      <c r="I64" s="56"/>
      <c r="J64" s="56"/>
      <c r="K64" s="3"/>
      <c r="L64" s="3"/>
      <c r="M64" s="3"/>
      <c r="N64" s="3"/>
      <c r="O64" s="3"/>
      <c r="P64" s="3"/>
    </row>
    <row r="65" spans="1:16" ht="14.1" customHeight="1" x14ac:dyDescent="0.3">
      <c r="A65" s="34" t="s">
        <v>120</v>
      </c>
      <c r="B65" s="143" t="s">
        <v>121</v>
      </c>
      <c r="C65" s="143"/>
      <c r="D65" s="143"/>
      <c r="E65" s="14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ht="14.1" customHeight="1" x14ac:dyDescent="0.3">
      <c r="B66" s="11"/>
      <c r="C66" s="57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ht="14.1" customHeight="1" x14ac:dyDescent="0.3">
      <c r="B67" s="116" t="s">
        <v>5</v>
      </c>
      <c r="C67" s="116"/>
      <c r="D67" s="116"/>
      <c r="E67" s="9" t="s">
        <v>115</v>
      </c>
      <c r="F67" s="9" t="s">
        <v>7</v>
      </c>
      <c r="G67" s="9" t="s">
        <v>6</v>
      </c>
      <c r="H67" s="9" t="s">
        <v>8</v>
      </c>
      <c r="I67" s="9" t="s">
        <v>10</v>
      </c>
      <c r="J67" s="9" t="s">
        <v>12</v>
      </c>
      <c r="K67" s="15"/>
      <c r="L67" s="15"/>
      <c r="M67" s="15"/>
      <c r="N67" s="15"/>
      <c r="O67" s="15"/>
      <c r="P67" s="15"/>
    </row>
    <row r="68" spans="1:16" ht="14.1" customHeight="1" x14ac:dyDescent="0.3">
      <c r="B68" s="116"/>
      <c r="C68" s="116"/>
      <c r="D68" s="116"/>
      <c r="E68" s="17" t="s">
        <v>117</v>
      </c>
      <c r="F68" s="17" t="s">
        <v>13</v>
      </c>
      <c r="G68" s="17" t="s">
        <v>13</v>
      </c>
      <c r="H68" s="17" t="s">
        <v>13</v>
      </c>
      <c r="I68" s="17" t="s">
        <v>14</v>
      </c>
      <c r="J68" s="17" t="s">
        <v>15</v>
      </c>
      <c r="K68" s="15"/>
      <c r="L68" s="15"/>
      <c r="M68" s="15"/>
      <c r="N68" s="15"/>
      <c r="O68" s="15"/>
      <c r="P68" s="15"/>
    </row>
    <row r="69" spans="1:16" ht="14.1" customHeight="1" x14ac:dyDescent="0.3">
      <c r="B69" s="144">
        <f>'Levantamento Campo'!B8</f>
        <v>0</v>
      </c>
      <c r="C69" s="144"/>
      <c r="D69" s="144"/>
      <c r="E69" s="39"/>
      <c r="F69" s="39"/>
      <c r="G69" s="39"/>
      <c r="H69" s="39"/>
      <c r="I69" s="39"/>
      <c r="J69" s="39"/>
      <c r="K69" s="15"/>
      <c r="L69" s="15"/>
      <c r="M69" s="15"/>
      <c r="N69" s="15"/>
      <c r="O69" s="15"/>
      <c r="P69" s="15"/>
    </row>
    <row r="70" spans="1:16" ht="14.1" customHeight="1" x14ac:dyDescent="0.3">
      <c r="B70" s="144">
        <f>'Levantamento Campo'!B9</f>
        <v>0</v>
      </c>
      <c r="C70" s="144"/>
      <c r="D70" s="144"/>
      <c r="E70" s="39"/>
      <c r="F70" s="39"/>
      <c r="G70" s="39"/>
      <c r="H70" s="39"/>
      <c r="I70" s="39"/>
      <c r="J70" s="39"/>
      <c r="K70" s="15"/>
      <c r="L70" s="15"/>
      <c r="M70" s="15"/>
      <c r="N70" s="15"/>
      <c r="O70" s="15"/>
      <c r="P70" s="15"/>
    </row>
    <row r="71" spans="1:16" ht="14.1" customHeight="1" x14ac:dyDescent="0.3">
      <c r="B71" s="144">
        <f>'Levantamento Campo'!B10</f>
        <v>0</v>
      </c>
      <c r="C71" s="144"/>
      <c r="D71" s="144"/>
      <c r="E71" s="39"/>
      <c r="F71" s="39"/>
      <c r="G71" s="39"/>
      <c r="H71" s="39"/>
      <c r="I71" s="39"/>
      <c r="J71" s="39"/>
      <c r="K71" s="15"/>
      <c r="L71" s="15"/>
      <c r="M71" s="15"/>
      <c r="N71" s="15"/>
      <c r="O71" s="15"/>
      <c r="P71" s="15"/>
    </row>
    <row r="72" spans="1:16" ht="14.1" customHeight="1" x14ac:dyDescent="0.3">
      <c r="B72" s="144">
        <f>'Levantamento Campo'!B11</f>
        <v>0</v>
      </c>
      <c r="C72" s="144"/>
      <c r="D72" s="144"/>
      <c r="E72" s="39"/>
      <c r="F72" s="39"/>
      <c r="G72" s="39"/>
      <c r="H72" s="39"/>
      <c r="I72" s="39"/>
      <c r="J72" s="39"/>
      <c r="K72" s="15"/>
      <c r="L72" s="15"/>
      <c r="M72" s="15"/>
      <c r="N72" s="15"/>
      <c r="O72" s="15"/>
      <c r="P72" s="15"/>
    </row>
    <row r="73" spans="1:16" ht="14.1" customHeight="1" x14ac:dyDescent="0.3">
      <c r="B73" s="144">
        <f>'Levantamento Campo'!B12</f>
        <v>0</v>
      </c>
      <c r="C73" s="144"/>
      <c r="D73" s="144"/>
      <c r="E73" s="39"/>
      <c r="F73" s="39"/>
      <c r="G73" s="39"/>
      <c r="H73" s="39"/>
      <c r="I73" s="39"/>
      <c r="J73" s="39"/>
      <c r="K73" s="15"/>
      <c r="L73" s="15"/>
      <c r="M73" s="15"/>
      <c r="N73" s="15"/>
      <c r="O73" s="15"/>
      <c r="P73" s="15"/>
    </row>
    <row r="74" spans="1:16" ht="14.1" customHeight="1" x14ac:dyDescent="0.3">
      <c r="B74" s="144">
        <f>'Levantamento Campo'!B13</f>
        <v>0</v>
      </c>
      <c r="C74" s="144"/>
      <c r="D74" s="144"/>
      <c r="E74" s="39"/>
      <c r="F74" s="39"/>
      <c r="G74" s="39"/>
      <c r="H74" s="39"/>
      <c r="I74" s="39"/>
      <c r="J74" s="39"/>
      <c r="K74" s="15"/>
      <c r="L74" s="15"/>
      <c r="M74" s="15"/>
      <c r="N74" s="15"/>
      <c r="O74" s="15"/>
      <c r="P74" s="15"/>
    </row>
    <row r="75" spans="1:16" ht="14.1" customHeight="1" x14ac:dyDescent="0.3">
      <c r="B75" s="144">
        <f>'Levantamento Campo'!B14</f>
        <v>0</v>
      </c>
      <c r="C75" s="144"/>
      <c r="D75" s="144"/>
      <c r="E75" s="39"/>
      <c r="F75" s="39"/>
      <c r="G75" s="39"/>
      <c r="H75" s="39"/>
      <c r="I75" s="39"/>
      <c r="J75" s="39"/>
      <c r="K75" s="15"/>
      <c r="L75" s="15"/>
      <c r="M75" s="15"/>
      <c r="N75" s="15"/>
      <c r="O75" s="15"/>
      <c r="P75" s="15"/>
    </row>
    <row r="76" spans="1:16" ht="14.1" customHeight="1" x14ac:dyDescent="0.3">
      <c r="B76" s="144">
        <f>'Levantamento Campo'!B15</f>
        <v>0</v>
      </c>
      <c r="C76" s="144"/>
      <c r="D76" s="144"/>
      <c r="E76" s="39"/>
      <c r="F76" s="39"/>
      <c r="G76" s="39"/>
      <c r="H76" s="39"/>
      <c r="I76" s="39"/>
      <c r="J76" s="39"/>
      <c r="K76" s="15"/>
      <c r="L76" s="15"/>
      <c r="M76" s="15"/>
      <c r="N76" s="15"/>
      <c r="O76" s="15"/>
      <c r="P76" s="15"/>
    </row>
    <row r="77" spans="1:16" ht="14.1" customHeight="1" x14ac:dyDescent="0.3">
      <c r="B77" s="144">
        <f>'Levantamento Campo'!B16</f>
        <v>0</v>
      </c>
      <c r="C77" s="144"/>
      <c r="D77" s="144"/>
      <c r="E77" s="39"/>
      <c r="F77" s="39"/>
      <c r="G77" s="39"/>
      <c r="H77" s="39"/>
      <c r="I77" s="39"/>
      <c r="J77" s="39"/>
      <c r="K77" s="15"/>
      <c r="L77" s="15"/>
      <c r="M77" s="15"/>
      <c r="N77" s="15"/>
      <c r="O77" s="15"/>
      <c r="P77" s="15"/>
    </row>
    <row r="78" spans="1:16" ht="14.1" customHeight="1" x14ac:dyDescent="0.3">
      <c r="B78" s="144">
        <f>'Levantamento Campo'!B17</f>
        <v>0</v>
      </c>
      <c r="C78" s="144"/>
      <c r="D78" s="144"/>
      <c r="E78" s="39"/>
      <c r="F78" s="39"/>
      <c r="G78" s="39"/>
      <c r="H78" s="39"/>
      <c r="I78" s="39"/>
      <c r="J78" s="39"/>
      <c r="K78" s="15"/>
      <c r="L78" s="15"/>
      <c r="M78" s="15"/>
      <c r="N78" s="15"/>
      <c r="O78" s="15"/>
      <c r="P78" s="15"/>
    </row>
    <row r="79" spans="1:16" ht="14.1" customHeight="1" x14ac:dyDescent="0.3">
      <c r="B79" s="144">
        <f>'Levantamento Campo'!B18</f>
        <v>0</v>
      </c>
      <c r="C79" s="144"/>
      <c r="D79" s="144"/>
      <c r="E79" s="39"/>
      <c r="F79" s="39"/>
      <c r="G79" s="39"/>
      <c r="H79" s="39"/>
      <c r="I79" s="39"/>
      <c r="J79" s="39"/>
      <c r="K79" s="15"/>
      <c r="L79" s="15"/>
      <c r="M79" s="15"/>
      <c r="N79" s="15"/>
      <c r="O79" s="15"/>
      <c r="P79" s="15"/>
    </row>
    <row r="80" spans="1:16" ht="14.1" customHeight="1" x14ac:dyDescent="0.3">
      <c r="B80" s="144">
        <f>'Levantamento Campo'!B19</f>
        <v>0</v>
      </c>
      <c r="C80" s="144"/>
      <c r="D80" s="144"/>
      <c r="E80" s="39"/>
      <c r="F80" s="39"/>
      <c r="G80" s="39"/>
      <c r="H80" s="39"/>
      <c r="I80" s="39"/>
      <c r="J80" s="39"/>
      <c r="K80" s="15"/>
      <c r="L80" s="15"/>
      <c r="M80" s="15"/>
      <c r="N80" s="15"/>
      <c r="O80" s="15"/>
      <c r="P80" s="15"/>
    </row>
    <row r="81" spans="1:16" ht="14.1" customHeight="1" x14ac:dyDescent="0.3">
      <c r="B81" s="144">
        <f>'Levantamento Campo'!B20</f>
        <v>0</v>
      </c>
      <c r="C81" s="144"/>
      <c r="D81" s="144"/>
      <c r="E81" s="39"/>
      <c r="F81" s="39"/>
      <c r="G81" s="39"/>
      <c r="H81" s="39"/>
      <c r="I81" s="39"/>
      <c r="J81" s="39"/>
      <c r="K81" s="15"/>
      <c r="L81" s="15"/>
      <c r="M81" s="15"/>
      <c r="N81" s="15"/>
      <c r="O81" s="15"/>
      <c r="P81" s="15"/>
    </row>
    <row r="82" spans="1:16" ht="14.1" customHeight="1" x14ac:dyDescent="0.3">
      <c r="B82" s="144">
        <f>'Levantamento Campo'!B21</f>
        <v>0</v>
      </c>
      <c r="C82" s="144"/>
      <c r="D82" s="144"/>
      <c r="E82" s="39"/>
      <c r="F82" s="39"/>
      <c r="G82" s="39"/>
      <c r="H82" s="39"/>
      <c r="I82" s="39"/>
      <c r="J82" s="39"/>
      <c r="K82" s="15"/>
      <c r="L82" s="15"/>
      <c r="M82" s="15"/>
      <c r="N82" s="15"/>
      <c r="O82" s="15"/>
      <c r="P82" s="15"/>
    </row>
    <row r="83" spans="1:16" ht="14.1" customHeight="1" x14ac:dyDescent="0.3">
      <c r="B83" s="144">
        <f>'Levantamento Campo'!B22</f>
        <v>0</v>
      </c>
      <c r="C83" s="144"/>
      <c r="D83" s="144"/>
      <c r="E83" s="39"/>
      <c r="F83" s="39"/>
      <c r="G83" s="39"/>
      <c r="H83" s="39"/>
      <c r="I83" s="39"/>
      <c r="J83" s="39"/>
      <c r="K83" s="15"/>
      <c r="L83" s="15"/>
      <c r="M83" s="15"/>
      <c r="N83" s="15"/>
      <c r="O83" s="15"/>
      <c r="P83" s="15"/>
    </row>
    <row r="84" spans="1:16" ht="14.1" customHeight="1" x14ac:dyDescent="0.3">
      <c r="B84" s="144">
        <f>'Levantamento Campo'!B23</f>
        <v>0</v>
      </c>
      <c r="C84" s="144"/>
      <c r="D84" s="144"/>
      <c r="E84" s="39"/>
      <c r="F84" s="39"/>
      <c r="G84" s="39"/>
      <c r="H84" s="39"/>
      <c r="I84" s="39"/>
      <c r="J84" s="39"/>
      <c r="K84" s="15"/>
      <c r="L84" s="15"/>
      <c r="M84" s="15"/>
      <c r="N84" s="15"/>
      <c r="O84" s="15"/>
      <c r="P84" s="15"/>
    </row>
    <row r="85" spans="1:16" ht="14.1" customHeight="1" x14ac:dyDescent="0.3">
      <c r="B85" s="144">
        <f>'Levantamento Campo'!B83</f>
        <v>0</v>
      </c>
      <c r="C85" s="144"/>
      <c r="D85" s="144"/>
      <c r="E85" s="39"/>
      <c r="F85" s="39"/>
      <c r="G85" s="39"/>
      <c r="H85" s="39"/>
      <c r="I85" s="39"/>
      <c r="J85" s="39"/>
      <c r="K85" s="15"/>
      <c r="L85" s="15"/>
      <c r="M85" s="15"/>
      <c r="N85" s="15"/>
      <c r="O85" s="15"/>
      <c r="P85" s="15"/>
    </row>
    <row r="86" spans="1:16" ht="14.1" customHeight="1" x14ac:dyDescent="0.3">
      <c r="B86" s="144">
        <f>'Levantamento Campo'!B84</f>
        <v>0</v>
      </c>
      <c r="C86" s="144"/>
      <c r="D86" s="144"/>
      <c r="E86" s="39"/>
      <c r="F86" s="39"/>
      <c r="G86" s="39"/>
      <c r="H86" s="39"/>
      <c r="I86" s="39"/>
      <c r="J86" s="39"/>
      <c r="K86" s="15"/>
      <c r="L86" s="15"/>
      <c r="M86" s="15"/>
      <c r="N86" s="15"/>
      <c r="O86" s="15"/>
      <c r="P86" s="15"/>
    </row>
    <row r="87" spans="1:16" ht="14.1" customHeight="1" x14ac:dyDescent="0.3">
      <c r="B87" s="144">
        <f>'Levantamento Campo'!B85</f>
        <v>0</v>
      </c>
      <c r="C87" s="144"/>
      <c r="D87" s="144"/>
      <c r="E87" s="39"/>
      <c r="F87" s="39"/>
      <c r="G87" s="39"/>
      <c r="H87" s="39"/>
      <c r="I87" s="39"/>
      <c r="J87" s="39"/>
      <c r="K87" s="15"/>
      <c r="L87" s="15"/>
      <c r="M87" s="15"/>
      <c r="N87" s="15"/>
      <c r="O87" s="15"/>
      <c r="P87" s="15"/>
    </row>
    <row r="88" spans="1:16" ht="14.1" customHeight="1" x14ac:dyDescent="0.3">
      <c r="B88" s="144">
        <f>'Levantamento Campo'!B108</f>
        <v>0</v>
      </c>
      <c r="C88" s="144"/>
      <c r="D88" s="144"/>
      <c r="E88" s="39"/>
      <c r="F88" s="39"/>
      <c r="G88" s="39"/>
      <c r="H88" s="39"/>
      <c r="I88" s="39"/>
      <c r="J88" s="39"/>
      <c r="K88" s="15"/>
      <c r="L88" s="15"/>
      <c r="M88" s="15"/>
      <c r="N88" s="15"/>
      <c r="O88" s="15"/>
      <c r="P88" s="15"/>
    </row>
    <row r="89" spans="1:16" ht="14.1" customHeight="1" x14ac:dyDescent="0.3">
      <c r="B89" s="145" t="s">
        <v>29</v>
      </c>
      <c r="C89" s="145"/>
      <c r="D89" s="145"/>
      <c r="E89" s="145"/>
      <c r="F89" s="145"/>
      <c r="G89" s="145"/>
      <c r="H89" s="145"/>
      <c r="I89" s="54">
        <f>SUM(I68:I88)</f>
        <v>0</v>
      </c>
      <c r="J89" s="54">
        <f>SUM(J68:J88)</f>
        <v>0</v>
      </c>
      <c r="K89" s="15"/>
      <c r="L89" s="15"/>
      <c r="M89" s="15"/>
      <c r="N89" s="15"/>
      <c r="O89" s="15"/>
      <c r="P89" s="15"/>
    </row>
    <row r="90" spans="1:16" ht="14.1" customHeight="1" x14ac:dyDescent="0.3">
      <c r="B90" s="11"/>
      <c r="C90" s="57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ht="14.1" customHeight="1" x14ac:dyDescent="0.3">
      <c r="A91" s="34" t="s">
        <v>122</v>
      </c>
      <c r="B91" s="143" t="s">
        <v>123</v>
      </c>
      <c r="C91" s="143"/>
      <c r="D91" s="143"/>
      <c r="E91" s="143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</row>
    <row r="92" spans="1:16" ht="14.1" customHeight="1" x14ac:dyDescent="0.3">
      <c r="B92" s="11"/>
      <c r="C92" s="57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</row>
    <row r="93" spans="1:16" ht="14.1" customHeight="1" x14ac:dyDescent="0.3">
      <c r="B93" s="116" t="s">
        <v>5</v>
      </c>
      <c r="C93" s="116"/>
      <c r="D93" s="116"/>
      <c r="E93" s="9" t="s">
        <v>115</v>
      </c>
      <c r="F93" s="9" t="s">
        <v>7</v>
      </c>
      <c r="G93" s="9" t="s">
        <v>6</v>
      </c>
      <c r="H93" s="9" t="s">
        <v>8</v>
      </c>
      <c r="I93" s="9" t="s">
        <v>10</v>
      </c>
      <c r="J93" s="9" t="s">
        <v>12</v>
      </c>
      <c r="K93" s="42"/>
      <c r="L93" s="42"/>
      <c r="M93" s="42"/>
      <c r="N93" s="42"/>
      <c r="O93" s="42"/>
      <c r="P93" s="42"/>
    </row>
    <row r="94" spans="1:16" ht="14.1" customHeight="1" x14ac:dyDescent="0.3">
      <c r="B94" s="116"/>
      <c r="C94" s="116"/>
      <c r="D94" s="116"/>
      <c r="E94" s="17" t="s">
        <v>117</v>
      </c>
      <c r="F94" s="17" t="s">
        <v>13</v>
      </c>
      <c r="G94" s="17" t="s">
        <v>13</v>
      </c>
      <c r="H94" s="17" t="s">
        <v>13</v>
      </c>
      <c r="I94" s="17" t="s">
        <v>14</v>
      </c>
      <c r="J94" s="17" t="s">
        <v>15</v>
      </c>
      <c r="K94" s="42"/>
      <c r="L94" s="42"/>
      <c r="M94" s="42"/>
      <c r="N94" s="42"/>
      <c r="O94" s="42"/>
      <c r="P94" s="42"/>
    </row>
    <row r="95" spans="1:16" ht="14.1" customHeight="1" x14ac:dyDescent="0.3">
      <c r="B95" s="144">
        <f>'Levantamento Campo'!B8</f>
        <v>0</v>
      </c>
      <c r="C95" s="144"/>
      <c r="D95" s="144"/>
      <c r="E95" s="39"/>
      <c r="F95" s="39"/>
      <c r="G95" s="39"/>
      <c r="H95" s="39"/>
      <c r="I95" s="39"/>
      <c r="J95" s="39"/>
      <c r="K95" s="42"/>
      <c r="L95" s="42"/>
      <c r="M95" s="42"/>
      <c r="N95" s="42"/>
      <c r="O95" s="42"/>
      <c r="P95" s="42"/>
    </row>
    <row r="96" spans="1:16" ht="14.1" customHeight="1" x14ac:dyDescent="0.3">
      <c r="B96" s="144">
        <f>'Levantamento Campo'!B9</f>
        <v>0</v>
      </c>
      <c r="C96" s="144"/>
      <c r="D96" s="144"/>
      <c r="E96" s="39"/>
      <c r="F96" s="39"/>
      <c r="G96" s="39"/>
      <c r="H96" s="39"/>
      <c r="I96" s="39"/>
      <c r="J96" s="39"/>
      <c r="K96" s="42"/>
      <c r="L96" s="42"/>
      <c r="M96" s="42"/>
      <c r="N96" s="42"/>
      <c r="O96" s="42"/>
      <c r="P96" s="42"/>
    </row>
    <row r="97" spans="2:16" ht="14.1" customHeight="1" x14ac:dyDescent="0.3">
      <c r="B97" s="144">
        <f>'Levantamento Campo'!B10</f>
        <v>0</v>
      </c>
      <c r="C97" s="144"/>
      <c r="D97" s="144"/>
      <c r="E97" s="39"/>
      <c r="F97" s="39"/>
      <c r="G97" s="39"/>
      <c r="H97" s="39"/>
      <c r="I97" s="39"/>
      <c r="J97" s="39"/>
      <c r="K97" s="42"/>
      <c r="L97" s="42"/>
      <c r="M97" s="42"/>
      <c r="N97" s="42"/>
      <c r="O97" s="42"/>
      <c r="P97" s="42"/>
    </row>
    <row r="98" spans="2:16" ht="14.1" customHeight="1" x14ac:dyDescent="0.3">
      <c r="B98" s="144">
        <f>'Levantamento Campo'!B11</f>
        <v>0</v>
      </c>
      <c r="C98" s="144"/>
      <c r="D98" s="144"/>
      <c r="E98" s="39"/>
      <c r="F98" s="39"/>
      <c r="G98" s="39"/>
      <c r="H98" s="39"/>
      <c r="I98" s="39"/>
      <c r="J98" s="39"/>
      <c r="K98" s="42"/>
      <c r="L98" s="42"/>
      <c r="M98" s="42"/>
      <c r="N98" s="42"/>
      <c r="O98" s="42"/>
      <c r="P98" s="42"/>
    </row>
    <row r="99" spans="2:16" ht="14.1" customHeight="1" x14ac:dyDescent="0.3">
      <c r="B99" s="144">
        <f>'Levantamento Campo'!B12</f>
        <v>0</v>
      </c>
      <c r="C99" s="144"/>
      <c r="D99" s="144"/>
      <c r="E99" s="39"/>
      <c r="F99" s="39"/>
      <c r="G99" s="39"/>
      <c r="H99" s="39"/>
      <c r="I99" s="39"/>
      <c r="J99" s="39"/>
      <c r="K99" s="42"/>
      <c r="L99" s="42"/>
      <c r="M99" s="42"/>
      <c r="N99" s="42"/>
      <c r="O99" s="42"/>
      <c r="P99" s="42"/>
    </row>
    <row r="100" spans="2:16" ht="14.1" customHeight="1" x14ac:dyDescent="0.3">
      <c r="B100" s="144">
        <f>'Levantamento Campo'!B13</f>
        <v>0</v>
      </c>
      <c r="C100" s="144"/>
      <c r="D100" s="144"/>
      <c r="E100" s="39"/>
      <c r="F100" s="39"/>
      <c r="G100" s="39"/>
      <c r="H100" s="39"/>
      <c r="I100" s="39"/>
      <c r="J100" s="39"/>
      <c r="K100" s="42"/>
      <c r="L100" s="42"/>
      <c r="M100" s="42"/>
      <c r="N100" s="42"/>
      <c r="O100" s="42"/>
      <c r="P100" s="42"/>
    </row>
    <row r="101" spans="2:16" ht="14.1" customHeight="1" x14ac:dyDescent="0.3">
      <c r="B101" s="144">
        <f>'Levantamento Campo'!B14</f>
        <v>0</v>
      </c>
      <c r="C101" s="144"/>
      <c r="D101" s="144"/>
      <c r="E101" s="39"/>
      <c r="F101" s="39"/>
      <c r="G101" s="39"/>
      <c r="H101" s="39"/>
      <c r="I101" s="39"/>
      <c r="J101" s="39"/>
      <c r="K101" s="42"/>
      <c r="L101" s="42"/>
      <c r="M101" s="42"/>
      <c r="N101" s="42"/>
      <c r="O101" s="42"/>
      <c r="P101" s="42"/>
    </row>
    <row r="102" spans="2:16" ht="14.1" customHeight="1" x14ac:dyDescent="0.3">
      <c r="B102" s="144">
        <f>'Levantamento Campo'!B15</f>
        <v>0</v>
      </c>
      <c r="C102" s="144"/>
      <c r="D102" s="144"/>
      <c r="E102" s="39"/>
      <c r="F102" s="39"/>
      <c r="G102" s="39"/>
      <c r="H102" s="39"/>
      <c r="I102" s="39"/>
      <c r="J102" s="39"/>
      <c r="K102" s="42"/>
      <c r="L102" s="42"/>
      <c r="M102" s="42"/>
      <c r="N102" s="42"/>
      <c r="O102" s="42"/>
      <c r="P102" s="42"/>
    </row>
    <row r="103" spans="2:16" ht="14.1" customHeight="1" x14ac:dyDescent="0.3">
      <c r="B103" s="144">
        <f>'Levantamento Campo'!B16</f>
        <v>0</v>
      </c>
      <c r="C103" s="144"/>
      <c r="D103" s="144"/>
      <c r="E103" s="39"/>
      <c r="F103" s="39"/>
      <c r="G103" s="39"/>
      <c r="H103" s="39"/>
      <c r="I103" s="39"/>
      <c r="J103" s="39"/>
      <c r="K103" s="42"/>
      <c r="L103" s="42"/>
      <c r="M103" s="42"/>
      <c r="N103" s="42"/>
      <c r="O103" s="42"/>
      <c r="P103" s="42"/>
    </row>
    <row r="104" spans="2:16" ht="14.1" customHeight="1" x14ac:dyDescent="0.3">
      <c r="B104" s="144">
        <f>'Levantamento Campo'!B17</f>
        <v>0</v>
      </c>
      <c r="C104" s="144"/>
      <c r="D104" s="144"/>
      <c r="E104" s="39"/>
      <c r="F104" s="39"/>
      <c r="G104" s="39"/>
      <c r="H104" s="39"/>
      <c r="I104" s="39"/>
      <c r="J104" s="39"/>
      <c r="K104" s="42"/>
      <c r="L104" s="42"/>
      <c r="M104" s="42"/>
      <c r="N104" s="42"/>
      <c r="O104" s="42"/>
      <c r="P104" s="42"/>
    </row>
    <row r="105" spans="2:16" ht="14.1" customHeight="1" x14ac:dyDescent="0.3">
      <c r="B105" s="144">
        <f>'Levantamento Campo'!B18</f>
        <v>0</v>
      </c>
      <c r="C105" s="144"/>
      <c r="D105" s="144"/>
      <c r="E105" s="39"/>
      <c r="F105" s="39"/>
      <c r="G105" s="39"/>
      <c r="H105" s="39"/>
      <c r="I105" s="39"/>
      <c r="J105" s="39"/>
      <c r="K105" s="42"/>
      <c r="L105" s="42"/>
      <c r="M105" s="42"/>
      <c r="N105" s="42"/>
      <c r="O105" s="42"/>
      <c r="P105" s="42"/>
    </row>
    <row r="106" spans="2:16" ht="14.1" customHeight="1" x14ac:dyDescent="0.3">
      <c r="B106" s="144">
        <f>'Levantamento Campo'!B19</f>
        <v>0</v>
      </c>
      <c r="C106" s="144"/>
      <c r="D106" s="144"/>
      <c r="E106" s="39"/>
      <c r="F106" s="39"/>
      <c r="G106" s="39"/>
      <c r="H106" s="39"/>
      <c r="I106" s="39"/>
      <c r="J106" s="39"/>
      <c r="K106" s="42"/>
      <c r="L106" s="42"/>
      <c r="M106" s="42"/>
      <c r="N106" s="42"/>
      <c r="O106" s="42"/>
      <c r="P106" s="42"/>
    </row>
    <row r="107" spans="2:16" ht="14.1" customHeight="1" x14ac:dyDescent="0.3">
      <c r="B107" s="144">
        <f>'Levantamento Campo'!B20</f>
        <v>0</v>
      </c>
      <c r="C107" s="144"/>
      <c r="D107" s="144"/>
      <c r="E107" s="39"/>
      <c r="F107" s="39"/>
      <c r="G107" s="39"/>
      <c r="H107" s="39"/>
      <c r="I107" s="39"/>
      <c r="J107" s="39"/>
      <c r="K107" s="42"/>
      <c r="L107" s="42"/>
      <c r="M107" s="42"/>
      <c r="N107" s="42"/>
      <c r="O107" s="42"/>
      <c r="P107" s="42"/>
    </row>
    <row r="108" spans="2:16" ht="14.1" customHeight="1" x14ac:dyDescent="0.3">
      <c r="B108" s="144">
        <f>'Levantamento Campo'!B21</f>
        <v>0</v>
      </c>
      <c r="C108" s="144"/>
      <c r="D108" s="144"/>
      <c r="E108" s="39"/>
      <c r="F108" s="39"/>
      <c r="G108" s="39"/>
      <c r="H108" s="39"/>
      <c r="I108" s="39"/>
      <c r="J108" s="39"/>
      <c r="K108" s="42"/>
      <c r="L108" s="42"/>
      <c r="M108" s="42"/>
      <c r="N108" s="42"/>
      <c r="O108" s="42"/>
      <c r="P108" s="42"/>
    </row>
    <row r="109" spans="2:16" ht="14.1" customHeight="1" x14ac:dyDescent="0.3">
      <c r="B109" s="144">
        <f>'Levantamento Campo'!B22</f>
        <v>0</v>
      </c>
      <c r="C109" s="144"/>
      <c r="D109" s="144"/>
      <c r="E109" s="39"/>
      <c r="F109" s="39"/>
      <c r="G109" s="39"/>
      <c r="H109" s="39"/>
      <c r="I109" s="39"/>
      <c r="J109" s="39"/>
      <c r="K109" s="42"/>
      <c r="L109" s="42"/>
      <c r="M109" s="42"/>
      <c r="N109" s="42"/>
      <c r="O109" s="42"/>
      <c r="P109" s="42"/>
    </row>
    <row r="110" spans="2:16" ht="14.1" customHeight="1" x14ac:dyDescent="0.3">
      <c r="B110" s="144">
        <f>'Levantamento Campo'!B23</f>
        <v>0</v>
      </c>
      <c r="C110" s="144"/>
      <c r="D110" s="144"/>
      <c r="E110" s="39"/>
      <c r="F110" s="39"/>
      <c r="G110" s="39"/>
      <c r="H110" s="39"/>
      <c r="I110" s="39"/>
      <c r="J110" s="39"/>
      <c r="K110" s="42"/>
      <c r="L110" s="42"/>
      <c r="M110" s="42"/>
      <c r="N110" s="42"/>
      <c r="O110" s="42"/>
      <c r="P110" s="42"/>
    </row>
    <row r="111" spans="2:16" ht="14.1" customHeight="1" x14ac:dyDescent="0.3">
      <c r="B111" s="144">
        <f>'Levantamento Campo'!B83</f>
        <v>0</v>
      </c>
      <c r="C111" s="144"/>
      <c r="D111" s="144"/>
      <c r="E111" s="39"/>
      <c r="F111" s="39"/>
      <c r="G111" s="39"/>
      <c r="H111" s="39"/>
      <c r="I111" s="39"/>
      <c r="J111" s="39"/>
      <c r="K111" s="42"/>
      <c r="L111" s="42"/>
      <c r="M111" s="42"/>
      <c r="N111" s="42"/>
      <c r="O111" s="42"/>
      <c r="P111" s="42"/>
    </row>
    <row r="112" spans="2:16" ht="14.1" customHeight="1" x14ac:dyDescent="0.3">
      <c r="B112" s="144">
        <f>'Levantamento Campo'!B84</f>
        <v>0</v>
      </c>
      <c r="C112" s="144"/>
      <c r="D112" s="144"/>
      <c r="E112" s="39"/>
      <c r="F112" s="39"/>
      <c r="G112" s="39"/>
      <c r="H112" s="39"/>
      <c r="I112" s="39"/>
      <c r="J112" s="39"/>
      <c r="K112" s="42"/>
      <c r="L112" s="42"/>
      <c r="M112" s="42"/>
      <c r="N112" s="42"/>
      <c r="O112" s="42"/>
      <c r="P112" s="42"/>
    </row>
    <row r="113" spans="1:16" ht="14.1" customHeight="1" x14ac:dyDescent="0.3">
      <c r="B113" s="144">
        <f>'Levantamento Campo'!B85</f>
        <v>0</v>
      </c>
      <c r="C113" s="144"/>
      <c r="D113" s="144"/>
      <c r="E113" s="39"/>
      <c r="F113" s="39"/>
      <c r="G113" s="39"/>
      <c r="H113" s="39"/>
      <c r="I113" s="39"/>
      <c r="J113" s="39"/>
      <c r="K113" s="42"/>
      <c r="L113" s="42"/>
      <c r="M113" s="42"/>
      <c r="N113" s="42"/>
      <c r="O113" s="42"/>
      <c r="P113" s="42"/>
    </row>
    <row r="114" spans="1:16" ht="14.1" customHeight="1" x14ac:dyDescent="0.3">
      <c r="B114" s="144">
        <f>'Levantamento Campo'!B108</f>
        <v>0</v>
      </c>
      <c r="C114" s="144"/>
      <c r="D114" s="144"/>
      <c r="E114" s="39"/>
      <c r="F114" s="39"/>
      <c r="G114" s="39"/>
      <c r="H114" s="39"/>
      <c r="I114" s="39"/>
      <c r="J114" s="39"/>
      <c r="K114" s="42"/>
      <c r="L114" s="42"/>
      <c r="M114" s="42"/>
      <c r="N114" s="42"/>
      <c r="O114" s="42"/>
      <c r="P114" s="42"/>
    </row>
    <row r="115" spans="1:16" ht="14.1" customHeight="1" x14ac:dyDescent="0.3">
      <c r="B115" s="145" t="s">
        <v>29</v>
      </c>
      <c r="C115" s="145"/>
      <c r="D115" s="145"/>
      <c r="E115" s="145"/>
      <c r="F115" s="145"/>
      <c r="G115" s="145"/>
      <c r="H115" s="145"/>
      <c r="I115" s="54">
        <f>SUM(I94:I114)</f>
        <v>0</v>
      </c>
      <c r="J115" s="54">
        <f>SUM(J94:J114)</f>
        <v>0</v>
      </c>
      <c r="K115" s="42"/>
      <c r="L115" s="42"/>
      <c r="M115" s="42"/>
      <c r="N115" s="42"/>
      <c r="O115" s="42"/>
      <c r="P115" s="42"/>
    </row>
    <row r="116" spans="1:16" ht="14.1" customHeight="1" x14ac:dyDescent="0.3">
      <c r="B116" s="64"/>
      <c r="C116" s="64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</row>
    <row r="117" spans="1:16" ht="14.1" customHeight="1" x14ac:dyDescent="0.3">
      <c r="A117" s="34" t="s">
        <v>124</v>
      </c>
      <c r="B117" s="143" t="s">
        <v>125</v>
      </c>
      <c r="C117" s="143"/>
      <c r="D117" s="143"/>
      <c r="E117" s="143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</row>
    <row r="118" spans="1:16" ht="14.1" customHeight="1" x14ac:dyDescent="0.3">
      <c r="B118" s="64"/>
      <c r="C118" s="64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</row>
    <row r="119" spans="1:16" ht="14.1" customHeight="1" x14ac:dyDescent="0.3">
      <c r="B119" s="116" t="s">
        <v>5</v>
      </c>
      <c r="C119" s="116"/>
      <c r="D119" s="116"/>
      <c r="E119" s="9" t="s">
        <v>115</v>
      </c>
      <c r="F119" s="9" t="s">
        <v>7</v>
      </c>
      <c r="G119" s="9" t="s">
        <v>6</v>
      </c>
      <c r="H119" s="9" t="s">
        <v>8</v>
      </c>
      <c r="I119" s="9" t="s">
        <v>10</v>
      </c>
      <c r="J119" s="9" t="s">
        <v>12</v>
      </c>
    </row>
    <row r="120" spans="1:16" x14ac:dyDescent="0.3">
      <c r="B120" s="116"/>
      <c r="C120" s="116"/>
      <c r="D120" s="116"/>
      <c r="E120" s="17" t="s">
        <v>117</v>
      </c>
      <c r="F120" s="17" t="s">
        <v>13</v>
      </c>
      <c r="G120" s="17" t="s">
        <v>13</v>
      </c>
      <c r="H120" s="17" t="s">
        <v>13</v>
      </c>
      <c r="I120" s="17" t="s">
        <v>14</v>
      </c>
      <c r="J120" s="17" t="s">
        <v>15</v>
      </c>
    </row>
    <row r="121" spans="1:16" ht="14.1" customHeight="1" x14ac:dyDescent="0.3">
      <c r="B121" s="144">
        <f>'Levantamento Campo'!B8</f>
        <v>0</v>
      </c>
      <c r="C121" s="144"/>
      <c r="D121" s="144"/>
      <c r="E121" s="39"/>
      <c r="F121" s="39"/>
      <c r="G121" s="39"/>
      <c r="H121" s="39"/>
      <c r="I121" s="39"/>
      <c r="J121" s="39"/>
    </row>
    <row r="122" spans="1:16" ht="14.1" customHeight="1" x14ac:dyDescent="0.3">
      <c r="B122" s="144">
        <f>'Levantamento Campo'!B9</f>
        <v>0</v>
      </c>
      <c r="C122" s="144"/>
      <c r="D122" s="144"/>
      <c r="E122" s="39"/>
      <c r="F122" s="39"/>
      <c r="G122" s="39"/>
      <c r="H122" s="39"/>
      <c r="I122" s="39"/>
      <c r="J122" s="39"/>
    </row>
    <row r="123" spans="1:16" ht="14.1" customHeight="1" x14ac:dyDescent="0.3">
      <c r="B123" s="144">
        <f>'Levantamento Campo'!B10</f>
        <v>0</v>
      </c>
      <c r="C123" s="144"/>
      <c r="D123" s="144"/>
      <c r="E123" s="39"/>
      <c r="F123" s="39"/>
      <c r="G123" s="39"/>
      <c r="H123" s="39"/>
      <c r="I123" s="39"/>
      <c r="J123" s="39"/>
    </row>
    <row r="124" spans="1:16" ht="14.1" customHeight="1" x14ac:dyDescent="0.3">
      <c r="B124" s="144">
        <f>'Levantamento Campo'!B11</f>
        <v>0</v>
      </c>
      <c r="C124" s="144"/>
      <c r="D124" s="144"/>
      <c r="E124" s="39"/>
      <c r="F124" s="39"/>
      <c r="G124" s="39"/>
      <c r="H124" s="39"/>
      <c r="I124" s="39"/>
      <c r="J124" s="39"/>
    </row>
    <row r="125" spans="1:16" ht="14.1" customHeight="1" x14ac:dyDescent="0.3">
      <c r="B125" s="144">
        <f>'Levantamento Campo'!B12</f>
        <v>0</v>
      </c>
      <c r="C125" s="144"/>
      <c r="D125" s="144"/>
      <c r="E125" s="39"/>
      <c r="F125" s="39"/>
      <c r="G125" s="39"/>
      <c r="H125" s="39"/>
      <c r="I125" s="39"/>
      <c r="J125" s="39"/>
    </row>
    <row r="126" spans="1:16" ht="14.1" customHeight="1" x14ac:dyDescent="0.3">
      <c r="B126" s="144">
        <f>'Levantamento Campo'!B13</f>
        <v>0</v>
      </c>
      <c r="C126" s="144"/>
      <c r="D126" s="144"/>
      <c r="E126" s="39"/>
      <c r="F126" s="39"/>
      <c r="G126" s="39"/>
      <c r="H126" s="39"/>
      <c r="I126" s="39"/>
      <c r="J126" s="39"/>
    </row>
    <row r="127" spans="1:16" ht="14.1" customHeight="1" x14ac:dyDescent="0.3">
      <c r="B127" s="144">
        <f>'Levantamento Campo'!B14</f>
        <v>0</v>
      </c>
      <c r="C127" s="144"/>
      <c r="D127" s="144"/>
      <c r="E127" s="39"/>
      <c r="F127" s="39"/>
      <c r="G127" s="39"/>
      <c r="H127" s="39"/>
      <c r="I127" s="39"/>
      <c r="J127" s="39"/>
    </row>
    <row r="128" spans="1:16" ht="14.1" customHeight="1" x14ac:dyDescent="0.3">
      <c r="B128" s="144">
        <f>'Levantamento Campo'!B15</f>
        <v>0</v>
      </c>
      <c r="C128" s="144"/>
      <c r="D128" s="144"/>
      <c r="E128" s="39"/>
      <c r="F128" s="39"/>
      <c r="G128" s="39"/>
      <c r="H128" s="39"/>
      <c r="I128" s="39"/>
      <c r="J128" s="39"/>
    </row>
    <row r="129" spans="1:10" x14ac:dyDescent="0.3">
      <c r="B129" s="144">
        <f>'Levantamento Campo'!B16</f>
        <v>0</v>
      </c>
      <c r="C129" s="144"/>
      <c r="D129" s="144"/>
      <c r="E129" s="39"/>
      <c r="F129" s="39"/>
      <c r="G129" s="39"/>
      <c r="H129" s="39"/>
      <c r="I129" s="39"/>
      <c r="J129" s="39"/>
    </row>
    <row r="130" spans="1:10" ht="14.1" customHeight="1" x14ac:dyDescent="0.3">
      <c r="B130" s="144">
        <f>'Levantamento Campo'!B17</f>
        <v>0</v>
      </c>
      <c r="C130" s="144"/>
      <c r="D130" s="144"/>
      <c r="E130" s="39"/>
      <c r="F130" s="39"/>
      <c r="G130" s="39"/>
      <c r="H130" s="39"/>
      <c r="I130" s="39"/>
      <c r="J130" s="39"/>
    </row>
    <row r="131" spans="1:10" ht="14.1" customHeight="1" x14ac:dyDescent="0.3">
      <c r="B131" s="144">
        <f>'Levantamento Campo'!B18</f>
        <v>0</v>
      </c>
      <c r="C131" s="144"/>
      <c r="D131" s="144"/>
      <c r="E131" s="39"/>
      <c r="F131" s="39"/>
      <c r="G131" s="39"/>
      <c r="H131" s="39"/>
      <c r="I131" s="39"/>
      <c r="J131" s="39"/>
    </row>
    <row r="132" spans="1:10" ht="14.1" customHeight="1" x14ac:dyDescent="0.3">
      <c r="B132" s="144">
        <f>'Levantamento Campo'!B19</f>
        <v>0</v>
      </c>
      <c r="C132" s="144"/>
      <c r="D132" s="144"/>
      <c r="E132" s="39"/>
      <c r="F132" s="39"/>
      <c r="G132" s="39"/>
      <c r="H132" s="39"/>
      <c r="I132" s="39"/>
      <c r="J132" s="39"/>
    </row>
    <row r="133" spans="1:10" ht="14.1" customHeight="1" x14ac:dyDescent="0.3">
      <c r="B133" s="144">
        <f>'Levantamento Campo'!B20</f>
        <v>0</v>
      </c>
      <c r="C133" s="144"/>
      <c r="D133" s="144"/>
      <c r="E133" s="39"/>
      <c r="F133" s="39"/>
      <c r="G133" s="39"/>
      <c r="H133" s="39"/>
      <c r="I133" s="39"/>
      <c r="J133" s="39"/>
    </row>
    <row r="134" spans="1:10" ht="14.1" customHeight="1" x14ac:dyDescent="0.3">
      <c r="B134" s="144">
        <f>'Levantamento Campo'!B21</f>
        <v>0</v>
      </c>
      <c r="C134" s="144"/>
      <c r="D134" s="144"/>
      <c r="E134" s="39"/>
      <c r="F134" s="39"/>
      <c r="G134" s="39"/>
      <c r="H134" s="39"/>
      <c r="I134" s="39"/>
      <c r="J134" s="39"/>
    </row>
    <row r="135" spans="1:10" ht="14.1" customHeight="1" x14ac:dyDescent="0.3">
      <c r="B135" s="144">
        <f>'Levantamento Campo'!B22</f>
        <v>0</v>
      </c>
      <c r="C135" s="144"/>
      <c r="D135" s="144"/>
      <c r="E135" s="39"/>
      <c r="F135" s="39"/>
      <c r="G135" s="39"/>
      <c r="H135" s="39"/>
      <c r="I135" s="39"/>
      <c r="J135" s="39"/>
    </row>
    <row r="136" spans="1:10" ht="14.1" customHeight="1" x14ac:dyDescent="0.3">
      <c r="B136" s="144">
        <f>'Levantamento Campo'!B23</f>
        <v>0</v>
      </c>
      <c r="C136" s="144"/>
      <c r="D136" s="144"/>
      <c r="E136" s="39"/>
      <c r="F136" s="39"/>
      <c r="G136" s="39"/>
      <c r="H136" s="39"/>
      <c r="I136" s="39"/>
      <c r="J136" s="39"/>
    </row>
    <row r="137" spans="1:10" ht="14.1" customHeight="1" x14ac:dyDescent="0.3">
      <c r="B137" s="144">
        <f>'Levantamento Campo'!B83</f>
        <v>0</v>
      </c>
      <c r="C137" s="144"/>
      <c r="D137" s="144"/>
      <c r="E137" s="39"/>
      <c r="F137" s="39"/>
      <c r="G137" s="39"/>
      <c r="H137" s="39"/>
      <c r="I137" s="39"/>
      <c r="J137" s="39"/>
    </row>
    <row r="138" spans="1:10" ht="14.1" customHeight="1" x14ac:dyDescent="0.3">
      <c r="B138" s="144">
        <f>'Levantamento Campo'!B84</f>
        <v>0</v>
      </c>
      <c r="C138" s="144"/>
      <c r="D138" s="144"/>
      <c r="E138" s="39"/>
      <c r="F138" s="39"/>
      <c r="G138" s="39"/>
      <c r="H138" s="39"/>
      <c r="I138" s="39"/>
      <c r="J138" s="39"/>
    </row>
    <row r="139" spans="1:10" ht="14.1" customHeight="1" x14ac:dyDescent="0.3">
      <c r="B139" s="144">
        <f>'Levantamento Campo'!B85</f>
        <v>0</v>
      </c>
      <c r="C139" s="144"/>
      <c r="D139" s="144"/>
      <c r="E139" s="39"/>
      <c r="F139" s="39"/>
      <c r="G139" s="39"/>
      <c r="H139" s="39"/>
      <c r="I139" s="39"/>
      <c r="J139" s="39"/>
    </row>
    <row r="140" spans="1:10" ht="14.1" customHeight="1" x14ac:dyDescent="0.3">
      <c r="B140" s="144">
        <f>'Levantamento Campo'!B108</f>
        <v>0</v>
      </c>
      <c r="C140" s="144"/>
      <c r="D140" s="144"/>
      <c r="E140" s="39"/>
      <c r="F140" s="39"/>
      <c r="G140" s="39"/>
      <c r="H140" s="39"/>
      <c r="I140" s="39"/>
      <c r="J140" s="39"/>
    </row>
    <row r="141" spans="1:10" ht="14.1" customHeight="1" x14ac:dyDescent="0.3">
      <c r="B141" s="144">
        <f>'Levantamento Campo'!B109</f>
        <v>0</v>
      </c>
      <c r="C141" s="144"/>
      <c r="D141" s="144"/>
      <c r="E141" s="39"/>
      <c r="F141" s="39"/>
      <c r="G141" s="39"/>
      <c r="H141" s="39"/>
      <c r="I141" s="39"/>
      <c r="J141" s="39"/>
    </row>
    <row r="142" spans="1:10" ht="14.1" customHeight="1" x14ac:dyDescent="0.3">
      <c r="B142" s="145" t="s">
        <v>29</v>
      </c>
      <c r="C142" s="145"/>
      <c r="D142" s="145"/>
      <c r="E142" s="145"/>
      <c r="F142" s="145"/>
      <c r="G142" s="145"/>
      <c r="H142" s="145"/>
      <c r="I142" s="54">
        <f>SUM(I121:I141)</f>
        <v>0</v>
      </c>
      <c r="J142" s="54">
        <f>SUM(J121:J141)</f>
        <v>0</v>
      </c>
    </row>
    <row r="143" spans="1:10" ht="14.1" customHeight="1" x14ac:dyDescent="0.3">
      <c r="C143" s="64"/>
      <c r="D143" s="64"/>
    </row>
    <row r="144" spans="1:10" ht="14.1" customHeight="1" x14ac:dyDescent="0.3">
      <c r="A144" s="34" t="s">
        <v>126</v>
      </c>
      <c r="B144" s="142" t="s">
        <v>127</v>
      </c>
      <c r="C144" s="142"/>
      <c r="D144" s="142"/>
      <c r="E144" s="142"/>
      <c r="F144" s="142"/>
    </row>
    <row r="145" spans="2:16" ht="14.1" customHeight="1" x14ac:dyDescent="0.3">
      <c r="C145" s="64"/>
      <c r="D145" s="64"/>
    </row>
    <row r="146" spans="2:16" ht="14.1" customHeight="1" x14ac:dyDescent="0.3">
      <c r="B146" s="116" t="s">
        <v>5</v>
      </c>
      <c r="C146" s="116"/>
      <c r="D146" s="116"/>
      <c r="E146" s="9" t="s">
        <v>115</v>
      </c>
      <c r="F146" s="9" t="s">
        <v>7</v>
      </c>
      <c r="G146" s="9" t="s">
        <v>6</v>
      </c>
      <c r="H146" s="9" t="s">
        <v>8</v>
      </c>
      <c r="I146" s="9" t="s">
        <v>10</v>
      </c>
      <c r="J146" s="9" t="s">
        <v>12</v>
      </c>
      <c r="K146" s="15"/>
      <c r="L146" s="15"/>
      <c r="M146" s="15"/>
      <c r="N146" s="15"/>
      <c r="O146" s="15"/>
      <c r="P146" s="15"/>
    </row>
    <row r="147" spans="2:16" x14ac:dyDescent="0.3">
      <c r="B147" s="116"/>
      <c r="C147" s="116"/>
      <c r="D147" s="116"/>
      <c r="E147" s="17" t="s">
        <v>117</v>
      </c>
      <c r="F147" s="17" t="s">
        <v>13</v>
      </c>
      <c r="G147" s="17" t="s">
        <v>13</v>
      </c>
      <c r="H147" s="17" t="s">
        <v>13</v>
      </c>
      <c r="I147" s="17" t="s">
        <v>14</v>
      </c>
      <c r="J147" s="17" t="s">
        <v>15</v>
      </c>
      <c r="K147" s="21"/>
      <c r="L147" s="21"/>
      <c r="M147" s="21"/>
      <c r="N147" s="21"/>
      <c r="O147" s="21"/>
      <c r="P147" s="21"/>
    </row>
    <row r="148" spans="2:16" x14ac:dyDescent="0.3">
      <c r="B148" s="144">
        <f>'Levantamento Campo'!B8</f>
        <v>0</v>
      </c>
      <c r="C148" s="144"/>
      <c r="D148" s="144"/>
      <c r="E148" s="39"/>
      <c r="F148" s="39"/>
      <c r="G148" s="39"/>
      <c r="H148" s="39"/>
      <c r="I148" s="39"/>
      <c r="J148" s="39"/>
      <c r="K148" s="42"/>
      <c r="L148" s="42"/>
      <c r="M148" s="42"/>
      <c r="N148" s="42"/>
      <c r="O148" s="42"/>
      <c r="P148" s="42"/>
    </row>
    <row r="149" spans="2:16" x14ac:dyDescent="0.3">
      <c r="B149" s="144">
        <f>'Levantamento Campo'!B9</f>
        <v>0</v>
      </c>
      <c r="C149" s="144"/>
      <c r="D149" s="144"/>
      <c r="E149" s="39"/>
      <c r="F149" s="39"/>
      <c r="G149" s="39"/>
      <c r="H149" s="39"/>
      <c r="I149" s="39"/>
      <c r="J149" s="39"/>
      <c r="K149" s="42"/>
      <c r="L149" s="42"/>
      <c r="M149" s="42"/>
      <c r="N149" s="42"/>
      <c r="O149" s="42"/>
      <c r="P149" s="42"/>
    </row>
    <row r="150" spans="2:16" x14ac:dyDescent="0.3">
      <c r="B150" s="144">
        <f>'Levantamento Campo'!B10</f>
        <v>0</v>
      </c>
      <c r="C150" s="144"/>
      <c r="D150" s="144"/>
      <c r="E150" s="39"/>
      <c r="F150" s="39"/>
      <c r="G150" s="39"/>
      <c r="H150" s="39"/>
      <c r="I150" s="39"/>
      <c r="J150" s="39"/>
      <c r="K150" s="42"/>
      <c r="L150" s="42"/>
      <c r="M150" s="42"/>
      <c r="N150" s="42"/>
      <c r="O150" s="42"/>
      <c r="P150" s="42"/>
    </row>
    <row r="151" spans="2:16" x14ac:dyDescent="0.3">
      <c r="B151" s="144">
        <f>'Levantamento Campo'!B11</f>
        <v>0</v>
      </c>
      <c r="C151" s="144"/>
      <c r="D151" s="144"/>
      <c r="E151" s="39"/>
      <c r="F151" s="39"/>
      <c r="G151" s="39"/>
      <c r="H151" s="39"/>
      <c r="I151" s="39"/>
      <c r="J151" s="39"/>
      <c r="K151" s="42"/>
      <c r="L151" s="42"/>
      <c r="M151" s="42"/>
      <c r="N151" s="42"/>
      <c r="O151" s="42"/>
      <c r="P151" s="42"/>
    </row>
    <row r="152" spans="2:16" x14ac:dyDescent="0.3">
      <c r="B152" s="144">
        <f>'Levantamento Campo'!B12</f>
        <v>0</v>
      </c>
      <c r="C152" s="144"/>
      <c r="D152" s="144"/>
      <c r="E152" s="39"/>
      <c r="F152" s="39"/>
      <c r="G152" s="39"/>
      <c r="H152" s="39"/>
      <c r="I152" s="39"/>
      <c r="J152" s="39"/>
      <c r="K152" s="42"/>
      <c r="L152" s="42"/>
      <c r="M152" s="42"/>
      <c r="N152" s="42"/>
      <c r="O152" s="42"/>
      <c r="P152" s="42"/>
    </row>
    <row r="153" spans="2:16" x14ac:dyDescent="0.3">
      <c r="B153" s="144">
        <f>'Levantamento Campo'!B13</f>
        <v>0</v>
      </c>
      <c r="C153" s="144"/>
      <c r="D153" s="144"/>
      <c r="E153" s="39"/>
      <c r="F153" s="39"/>
      <c r="G153" s="39"/>
      <c r="H153" s="39"/>
      <c r="I153" s="39"/>
      <c r="J153" s="39"/>
      <c r="K153" s="42"/>
      <c r="L153" s="42"/>
      <c r="M153" s="42"/>
      <c r="N153" s="42"/>
      <c r="O153" s="42"/>
      <c r="P153" s="42"/>
    </row>
    <row r="154" spans="2:16" x14ac:dyDescent="0.3">
      <c r="B154" s="144">
        <f>'Levantamento Campo'!B14</f>
        <v>0</v>
      </c>
      <c r="C154" s="144"/>
      <c r="D154" s="144"/>
      <c r="E154" s="39"/>
      <c r="F154" s="39"/>
      <c r="G154" s="39"/>
      <c r="H154" s="39"/>
      <c r="I154" s="39"/>
      <c r="J154" s="39"/>
      <c r="K154" s="42"/>
      <c r="L154" s="42"/>
      <c r="M154" s="42"/>
      <c r="N154" s="42"/>
      <c r="O154" s="42"/>
      <c r="P154" s="42"/>
    </row>
    <row r="155" spans="2:16" x14ac:dyDescent="0.3">
      <c r="B155" s="144">
        <f>'Levantamento Campo'!B15</f>
        <v>0</v>
      </c>
      <c r="C155" s="144"/>
      <c r="D155" s="144"/>
      <c r="E155" s="39"/>
      <c r="F155" s="39"/>
      <c r="G155" s="39"/>
      <c r="H155" s="39"/>
      <c r="I155" s="39"/>
      <c r="J155" s="39"/>
      <c r="K155" s="42"/>
      <c r="L155" s="42"/>
      <c r="M155" s="42"/>
      <c r="N155" s="42"/>
      <c r="O155" s="42"/>
      <c r="P155" s="42"/>
    </row>
    <row r="156" spans="2:16" x14ac:dyDescent="0.3">
      <c r="B156" s="144">
        <f>'Levantamento Campo'!B16</f>
        <v>0</v>
      </c>
      <c r="C156" s="144"/>
      <c r="D156" s="144"/>
      <c r="E156" s="39"/>
      <c r="F156" s="39"/>
      <c r="G156" s="39"/>
      <c r="H156" s="39"/>
      <c r="I156" s="39"/>
      <c r="J156" s="39"/>
      <c r="K156" s="42"/>
      <c r="L156" s="42"/>
      <c r="M156" s="42"/>
      <c r="N156" s="42"/>
      <c r="O156" s="42"/>
      <c r="P156" s="42"/>
    </row>
    <row r="157" spans="2:16" x14ac:dyDescent="0.3">
      <c r="B157" s="144">
        <f>'Levantamento Campo'!B17</f>
        <v>0</v>
      </c>
      <c r="C157" s="144"/>
      <c r="D157" s="144"/>
      <c r="E157" s="39"/>
      <c r="F157" s="39"/>
      <c r="G157" s="39"/>
      <c r="H157" s="39"/>
      <c r="I157" s="39"/>
      <c r="J157" s="39"/>
      <c r="K157" s="42"/>
      <c r="L157" s="42"/>
      <c r="M157" s="42"/>
      <c r="N157" s="42"/>
      <c r="O157" s="42"/>
      <c r="P157" s="42"/>
    </row>
    <row r="158" spans="2:16" x14ac:dyDescent="0.3">
      <c r="B158" s="144">
        <f>'Levantamento Campo'!B18</f>
        <v>0</v>
      </c>
      <c r="C158" s="144"/>
      <c r="D158" s="144"/>
      <c r="E158" s="39"/>
      <c r="F158" s="39"/>
      <c r="G158" s="39"/>
      <c r="H158" s="39"/>
      <c r="I158" s="39"/>
      <c r="J158" s="39"/>
      <c r="K158" s="42"/>
      <c r="L158" s="42"/>
      <c r="M158" s="42"/>
      <c r="N158" s="42"/>
      <c r="O158" s="42"/>
      <c r="P158" s="42"/>
    </row>
    <row r="159" spans="2:16" x14ac:dyDescent="0.3">
      <c r="B159" s="144">
        <f>'Levantamento Campo'!B19</f>
        <v>0</v>
      </c>
      <c r="C159" s="144"/>
      <c r="D159" s="144"/>
      <c r="E159" s="39"/>
      <c r="F159" s="39"/>
      <c r="G159" s="39"/>
      <c r="H159" s="39"/>
      <c r="I159" s="39"/>
      <c r="J159" s="39"/>
      <c r="K159" s="42"/>
      <c r="L159" s="42"/>
      <c r="M159" s="42"/>
      <c r="N159" s="42"/>
      <c r="O159" s="42"/>
      <c r="P159" s="42"/>
    </row>
    <row r="160" spans="2:16" x14ac:dyDescent="0.3">
      <c r="B160" s="144">
        <f>'Levantamento Campo'!B20</f>
        <v>0</v>
      </c>
      <c r="C160" s="144"/>
      <c r="D160" s="144"/>
      <c r="E160" s="39"/>
      <c r="F160" s="39"/>
      <c r="G160" s="39"/>
      <c r="H160" s="39"/>
      <c r="I160" s="39"/>
      <c r="J160" s="39"/>
      <c r="K160" s="42"/>
      <c r="L160" s="42"/>
      <c r="M160" s="42"/>
      <c r="N160" s="42"/>
      <c r="O160" s="42"/>
      <c r="P160" s="42"/>
    </row>
    <row r="161" spans="1:16" x14ac:dyDescent="0.3">
      <c r="B161" s="144">
        <f>'Levantamento Campo'!B21</f>
        <v>0</v>
      </c>
      <c r="C161" s="144"/>
      <c r="D161" s="144"/>
      <c r="E161" s="39"/>
      <c r="F161" s="39"/>
      <c r="G161" s="39"/>
      <c r="H161" s="39"/>
      <c r="I161" s="39"/>
      <c r="J161" s="39"/>
      <c r="K161" s="42"/>
      <c r="L161" s="42"/>
      <c r="M161" s="42"/>
      <c r="N161" s="42"/>
      <c r="O161" s="42"/>
      <c r="P161" s="42"/>
    </row>
    <row r="162" spans="1:16" x14ac:dyDescent="0.3">
      <c r="B162" s="144">
        <f>'Levantamento Campo'!B22</f>
        <v>0</v>
      </c>
      <c r="C162" s="144"/>
      <c r="D162" s="144"/>
      <c r="E162" s="39"/>
      <c r="F162" s="39"/>
      <c r="G162" s="39"/>
      <c r="H162" s="39"/>
      <c r="I162" s="39"/>
      <c r="J162" s="39"/>
      <c r="K162" s="42"/>
      <c r="L162" s="42"/>
      <c r="M162" s="42"/>
      <c r="N162" s="42"/>
      <c r="O162" s="42"/>
      <c r="P162" s="42"/>
    </row>
    <row r="163" spans="1:16" x14ac:dyDescent="0.3">
      <c r="B163" s="144">
        <f>'Levantamento Campo'!B23</f>
        <v>0</v>
      </c>
      <c r="C163" s="144"/>
      <c r="D163" s="144"/>
      <c r="E163" s="39"/>
      <c r="F163" s="39"/>
      <c r="G163" s="39"/>
      <c r="H163" s="39"/>
      <c r="I163" s="39"/>
      <c r="J163" s="39"/>
      <c r="K163" s="42"/>
      <c r="L163" s="42"/>
      <c r="M163" s="42"/>
      <c r="N163" s="42"/>
      <c r="O163" s="42"/>
      <c r="P163" s="42"/>
    </row>
    <row r="164" spans="1:16" x14ac:dyDescent="0.3">
      <c r="B164" s="144">
        <f>'Levantamento Campo'!B83</f>
        <v>0</v>
      </c>
      <c r="C164" s="144"/>
      <c r="D164" s="144"/>
      <c r="E164" s="39"/>
      <c r="F164" s="39"/>
      <c r="G164" s="39"/>
      <c r="H164" s="39"/>
      <c r="I164" s="39"/>
      <c r="J164" s="39"/>
      <c r="K164" s="42"/>
      <c r="L164" s="42"/>
      <c r="M164" s="42"/>
      <c r="N164" s="42"/>
      <c r="O164" s="42"/>
      <c r="P164" s="42"/>
    </row>
    <row r="165" spans="1:16" x14ac:dyDescent="0.3">
      <c r="B165" s="144">
        <f>'Levantamento Campo'!B84</f>
        <v>0</v>
      </c>
      <c r="C165" s="144"/>
      <c r="D165" s="144"/>
      <c r="E165" s="39"/>
      <c r="F165" s="39"/>
      <c r="G165" s="39"/>
      <c r="H165" s="39"/>
      <c r="I165" s="39"/>
      <c r="J165" s="39"/>
      <c r="K165" s="42"/>
      <c r="L165" s="42"/>
      <c r="M165" s="42"/>
      <c r="N165" s="42"/>
      <c r="O165" s="42"/>
      <c r="P165" s="42"/>
    </row>
    <row r="166" spans="1:16" x14ac:dyDescent="0.3">
      <c r="B166" s="144">
        <f>'Levantamento Campo'!B85</f>
        <v>0</v>
      </c>
      <c r="C166" s="144"/>
      <c r="D166" s="144"/>
      <c r="E166" s="39"/>
      <c r="F166" s="39"/>
      <c r="G166" s="39"/>
      <c r="H166" s="39"/>
      <c r="I166" s="39"/>
      <c r="J166" s="39"/>
      <c r="K166" s="42"/>
      <c r="L166" s="42"/>
      <c r="M166" s="42"/>
      <c r="N166" s="42"/>
      <c r="O166" s="42"/>
      <c r="P166" s="42"/>
    </row>
    <row r="167" spans="1:16" x14ac:dyDescent="0.3">
      <c r="B167" s="144">
        <f>'Levantamento Campo'!B108</f>
        <v>0</v>
      </c>
      <c r="C167" s="144"/>
      <c r="D167" s="144"/>
      <c r="E167" s="39"/>
      <c r="F167" s="39"/>
      <c r="G167" s="39"/>
      <c r="H167" s="39"/>
      <c r="I167" s="39"/>
      <c r="J167" s="39"/>
      <c r="K167" s="42"/>
      <c r="L167" s="42"/>
      <c r="M167" s="42"/>
      <c r="N167" s="42"/>
      <c r="O167" s="42"/>
      <c r="P167" s="42"/>
    </row>
    <row r="168" spans="1:16" ht="14.1" customHeight="1" x14ac:dyDescent="0.3">
      <c r="B168" s="145" t="s">
        <v>29</v>
      </c>
      <c r="C168" s="145"/>
      <c r="D168" s="145"/>
      <c r="E168" s="145"/>
      <c r="F168" s="145"/>
      <c r="G168" s="145"/>
      <c r="H168" s="145"/>
      <c r="I168" s="54">
        <f>SUM(I148:I167)</f>
        <v>0</v>
      </c>
      <c r="J168" s="54">
        <f>SUM(J148:J167)</f>
        <v>0</v>
      </c>
      <c r="K168" s="56"/>
      <c r="L168" s="56"/>
      <c r="M168" s="56"/>
      <c r="N168" s="56"/>
      <c r="O168" s="56"/>
      <c r="P168" s="56"/>
    </row>
    <row r="170" spans="1:16" x14ac:dyDescent="0.3">
      <c r="A170" s="34" t="s">
        <v>128</v>
      </c>
      <c r="B170" s="143" t="s">
        <v>129</v>
      </c>
      <c r="C170" s="143"/>
      <c r="D170" s="143"/>
      <c r="E170" s="143"/>
    </row>
    <row r="177" spans="1:5" x14ac:dyDescent="0.3">
      <c r="A177" s="34" t="s">
        <v>130</v>
      </c>
      <c r="B177" s="143" t="s">
        <v>131</v>
      </c>
      <c r="C177" s="143"/>
      <c r="D177" s="143"/>
      <c r="E177" s="143"/>
    </row>
    <row r="184" spans="1:5" x14ac:dyDescent="0.3">
      <c r="A184" s="34" t="s">
        <v>132</v>
      </c>
      <c r="B184" s="143" t="s">
        <v>106</v>
      </c>
      <c r="C184" s="143"/>
      <c r="D184" s="143"/>
      <c r="E184" s="143"/>
    </row>
    <row r="191" spans="1:5" x14ac:dyDescent="0.3">
      <c r="A191" s="34" t="s">
        <v>133</v>
      </c>
      <c r="B191" s="143" t="s">
        <v>108</v>
      </c>
      <c r="C191" s="143"/>
      <c r="D191" s="143"/>
      <c r="E191" s="143"/>
    </row>
  </sheetData>
  <mergeCells count="147">
    <mergeCell ref="B1:F1"/>
    <mergeCell ref="B3:D3"/>
    <mergeCell ref="B5:E5"/>
    <mergeCell ref="B13:E13"/>
    <mergeCell ref="B15:D16"/>
    <mergeCell ref="E15:E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I37"/>
    <mergeCell ref="B39:E39"/>
    <mergeCell ref="B41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H63"/>
    <mergeCell ref="B65:E65"/>
    <mergeCell ref="B67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H89"/>
    <mergeCell ref="B91:E91"/>
    <mergeCell ref="B93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H115"/>
    <mergeCell ref="B117:E117"/>
    <mergeCell ref="B119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H142"/>
    <mergeCell ref="B144:F144"/>
    <mergeCell ref="B146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77:E177"/>
    <mergeCell ref="B184:E184"/>
    <mergeCell ref="B191:E191"/>
    <mergeCell ref="B161:D161"/>
    <mergeCell ref="B162:D162"/>
    <mergeCell ref="B163:D163"/>
    <mergeCell ref="B164:D164"/>
    <mergeCell ref="B165:D165"/>
    <mergeCell ref="B166:D166"/>
    <mergeCell ref="B167:D167"/>
    <mergeCell ref="B168:H168"/>
    <mergeCell ref="B170:E170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92"/>
  <sheetViews>
    <sheetView zoomScale="160" zoomScaleNormal="160" workbookViewId="0">
      <selection activeCell="C4" sqref="C4"/>
    </sheetView>
  </sheetViews>
  <sheetFormatPr defaultColWidth="7.6640625" defaultRowHeight="13.8" x14ac:dyDescent="0.3"/>
  <cols>
    <col min="1" max="1" width="7.6640625" style="34"/>
    <col min="2" max="16384" width="7.6640625" style="62"/>
  </cols>
  <sheetData>
    <row r="1" spans="1:15" ht="14.1" customHeight="1" x14ac:dyDescent="0.3">
      <c r="B1" s="146" t="str">
        <f>'Levantamento Campo'!B1</f>
        <v>Prj Estande de Tiro (50 m) – 5º BIL (Amv)</v>
      </c>
      <c r="C1" s="146"/>
      <c r="D1" s="146"/>
      <c r="E1" s="146"/>
      <c r="F1" s="146"/>
    </row>
    <row r="2" spans="1:15" ht="14.1" customHeight="1" x14ac:dyDescent="0.3">
      <c r="B2" s="45"/>
      <c r="C2" s="45"/>
    </row>
    <row r="3" spans="1:15" ht="14.1" customHeight="1" x14ac:dyDescent="0.3">
      <c r="A3" s="34" t="s">
        <v>134</v>
      </c>
      <c r="B3" s="143" t="s">
        <v>135</v>
      </c>
      <c r="C3" s="143"/>
      <c r="D3" s="143"/>
      <c r="E3" s="143"/>
    </row>
    <row r="4" spans="1:15" ht="14.1" customHeight="1" x14ac:dyDescent="0.3">
      <c r="B4" s="45"/>
      <c r="C4" s="45"/>
    </row>
    <row r="5" spans="1:15" ht="14.1" customHeight="1" x14ac:dyDescent="0.3">
      <c r="A5" s="34" t="s">
        <v>136</v>
      </c>
      <c r="B5" s="143" t="s">
        <v>137</v>
      </c>
      <c r="C5" s="143"/>
    </row>
    <row r="6" spans="1:15" ht="14.1" customHeight="1" x14ac:dyDescent="0.3">
      <c r="B6" s="45"/>
      <c r="C6" s="45"/>
    </row>
    <row r="7" spans="1:15" ht="14.1" customHeight="1" x14ac:dyDescent="0.3">
      <c r="A7" s="34" t="s">
        <v>138</v>
      </c>
      <c r="B7" s="143" t="s">
        <v>139</v>
      </c>
      <c r="C7" s="143"/>
      <c r="D7" s="143"/>
      <c r="E7" s="143"/>
    </row>
    <row r="9" spans="1:15" ht="14.1" customHeight="1" x14ac:dyDescent="0.3">
      <c r="B9" s="15"/>
      <c r="C9" s="15"/>
      <c r="D9" s="15"/>
      <c r="E9" s="116" t="s">
        <v>140</v>
      </c>
      <c r="F9" s="116" t="s">
        <v>141</v>
      </c>
      <c r="G9" s="116"/>
      <c r="H9" s="116" t="s">
        <v>6</v>
      </c>
      <c r="I9" s="116" t="s">
        <v>116</v>
      </c>
      <c r="J9" s="124" t="s">
        <v>142</v>
      </c>
      <c r="K9" s="124" t="s">
        <v>143</v>
      </c>
      <c r="L9" s="116" t="s">
        <v>144</v>
      </c>
      <c r="M9" s="116" t="s">
        <v>145</v>
      </c>
      <c r="N9" s="116"/>
      <c r="O9" s="116"/>
    </row>
    <row r="10" spans="1:15" ht="14.1" customHeight="1" x14ac:dyDescent="0.3">
      <c r="B10" s="116" t="s">
        <v>5</v>
      </c>
      <c r="C10" s="116"/>
      <c r="D10" s="116"/>
      <c r="E10" s="116"/>
      <c r="F10" s="9" t="s">
        <v>7</v>
      </c>
      <c r="G10" s="9" t="s">
        <v>8</v>
      </c>
      <c r="H10" s="116"/>
      <c r="I10" s="116"/>
      <c r="J10" s="124"/>
      <c r="K10" s="124"/>
      <c r="L10" s="116"/>
      <c r="M10" s="9" t="s">
        <v>7</v>
      </c>
      <c r="N10" s="9" t="s">
        <v>6</v>
      </c>
      <c r="O10" s="9" t="s">
        <v>10</v>
      </c>
    </row>
    <row r="11" spans="1:15" ht="14.1" customHeight="1" x14ac:dyDescent="0.3">
      <c r="B11" s="116"/>
      <c r="C11" s="116"/>
      <c r="D11" s="116"/>
      <c r="E11" s="116"/>
      <c r="F11" s="17" t="s">
        <v>13</v>
      </c>
      <c r="G11" s="17" t="s">
        <v>13</v>
      </c>
      <c r="H11" s="65" t="s">
        <v>13</v>
      </c>
      <c r="I11" s="65" t="s">
        <v>15</v>
      </c>
      <c r="J11" s="65" t="s">
        <v>15</v>
      </c>
      <c r="K11" s="65" t="s">
        <v>146</v>
      </c>
      <c r="L11" s="65" t="s">
        <v>146</v>
      </c>
      <c r="M11" s="17" t="s">
        <v>13</v>
      </c>
      <c r="N11" s="17" t="s">
        <v>13</v>
      </c>
      <c r="O11" s="17" t="s">
        <v>14</v>
      </c>
    </row>
    <row r="12" spans="1:15" ht="14.1" customHeight="1" x14ac:dyDescent="0.3">
      <c r="B12" s="117"/>
      <c r="C12" s="117"/>
      <c r="D12" s="117"/>
      <c r="E12" s="9"/>
      <c r="F12" s="9"/>
      <c r="G12" s="9"/>
      <c r="H12" s="66"/>
      <c r="I12" s="66"/>
      <c r="J12" s="66"/>
      <c r="K12" s="66"/>
      <c r="L12" s="66"/>
      <c r="M12" s="9"/>
      <c r="N12" s="9"/>
      <c r="O12" s="67">
        <f t="shared" ref="O12:O31" si="0">M12*N12</f>
        <v>0</v>
      </c>
    </row>
    <row r="13" spans="1:15" ht="14.1" customHeight="1" x14ac:dyDescent="0.3">
      <c r="B13" s="117"/>
      <c r="C13" s="117"/>
      <c r="D13" s="117"/>
      <c r="E13" s="9"/>
      <c r="F13" s="9"/>
      <c r="G13" s="9"/>
      <c r="H13" s="66"/>
      <c r="I13" s="66"/>
      <c r="J13" s="66"/>
      <c r="K13" s="66"/>
      <c r="L13" s="66"/>
      <c r="M13" s="9"/>
      <c r="N13" s="9"/>
      <c r="O13" s="67">
        <f t="shared" si="0"/>
        <v>0</v>
      </c>
    </row>
    <row r="14" spans="1:15" ht="14.1" customHeight="1" x14ac:dyDescent="0.3">
      <c r="B14" s="117"/>
      <c r="C14" s="117"/>
      <c r="D14" s="117"/>
      <c r="E14" s="9"/>
      <c r="F14" s="9"/>
      <c r="G14" s="9"/>
      <c r="H14" s="66"/>
      <c r="I14" s="66"/>
      <c r="J14" s="66"/>
      <c r="K14" s="66"/>
      <c r="L14" s="66"/>
      <c r="M14" s="9"/>
      <c r="N14" s="9"/>
      <c r="O14" s="67">
        <f t="shared" si="0"/>
        <v>0</v>
      </c>
    </row>
    <row r="15" spans="1:15" ht="14.1" customHeight="1" x14ac:dyDescent="0.3">
      <c r="B15" s="117"/>
      <c r="C15" s="117"/>
      <c r="D15" s="117"/>
      <c r="E15" s="9"/>
      <c r="F15" s="9"/>
      <c r="G15" s="9"/>
      <c r="H15" s="66"/>
      <c r="I15" s="66"/>
      <c r="J15" s="66"/>
      <c r="K15" s="66"/>
      <c r="L15" s="66"/>
      <c r="M15" s="9"/>
      <c r="N15" s="9"/>
      <c r="O15" s="67">
        <f t="shared" si="0"/>
        <v>0</v>
      </c>
    </row>
    <row r="16" spans="1:15" ht="14.1" customHeight="1" x14ac:dyDescent="0.3">
      <c r="B16" s="117"/>
      <c r="C16" s="117"/>
      <c r="D16" s="117"/>
      <c r="E16" s="9"/>
      <c r="F16" s="9"/>
      <c r="G16" s="9"/>
      <c r="H16" s="66"/>
      <c r="I16" s="66"/>
      <c r="J16" s="66"/>
      <c r="K16" s="66"/>
      <c r="L16" s="66"/>
      <c r="M16" s="9"/>
      <c r="N16" s="9"/>
      <c r="O16" s="67">
        <f t="shared" si="0"/>
        <v>0</v>
      </c>
    </row>
    <row r="17" spans="2:15" ht="14.1" customHeight="1" x14ac:dyDescent="0.3">
      <c r="B17" s="117"/>
      <c r="C17" s="117"/>
      <c r="D17" s="117"/>
      <c r="E17" s="9"/>
      <c r="F17" s="9"/>
      <c r="G17" s="9"/>
      <c r="H17" s="66"/>
      <c r="I17" s="66"/>
      <c r="J17" s="66"/>
      <c r="K17" s="66"/>
      <c r="L17" s="66"/>
      <c r="M17" s="9"/>
      <c r="N17" s="9"/>
      <c r="O17" s="67">
        <f t="shared" si="0"/>
        <v>0</v>
      </c>
    </row>
    <row r="18" spans="2:15" ht="14.1" customHeight="1" x14ac:dyDescent="0.3">
      <c r="B18" s="117"/>
      <c r="C18" s="117"/>
      <c r="D18" s="117"/>
      <c r="E18" s="9"/>
      <c r="F18" s="9"/>
      <c r="G18" s="9"/>
      <c r="H18" s="66"/>
      <c r="I18" s="66"/>
      <c r="J18" s="66"/>
      <c r="K18" s="66"/>
      <c r="L18" s="66"/>
      <c r="M18" s="9"/>
      <c r="N18" s="9"/>
      <c r="O18" s="67">
        <f t="shared" si="0"/>
        <v>0</v>
      </c>
    </row>
    <row r="19" spans="2:15" ht="14.1" customHeight="1" x14ac:dyDescent="0.3">
      <c r="B19" s="117"/>
      <c r="C19" s="117"/>
      <c r="D19" s="117"/>
      <c r="E19" s="9"/>
      <c r="F19" s="9"/>
      <c r="G19" s="9"/>
      <c r="H19" s="66"/>
      <c r="I19" s="66"/>
      <c r="J19" s="66"/>
      <c r="K19" s="66"/>
      <c r="L19" s="66"/>
      <c r="M19" s="9"/>
      <c r="N19" s="9"/>
      <c r="O19" s="67">
        <f t="shared" si="0"/>
        <v>0</v>
      </c>
    </row>
    <row r="20" spans="2:15" ht="14.1" customHeight="1" x14ac:dyDescent="0.3">
      <c r="B20" s="117"/>
      <c r="C20" s="117"/>
      <c r="D20" s="117"/>
      <c r="E20" s="68"/>
      <c r="F20" s="39"/>
      <c r="G20" s="39"/>
      <c r="H20" s="39"/>
      <c r="I20" s="39"/>
      <c r="J20" s="39"/>
      <c r="K20" s="39"/>
      <c r="L20" s="39"/>
      <c r="M20" s="39"/>
      <c r="N20" s="39"/>
      <c r="O20" s="67">
        <f t="shared" si="0"/>
        <v>0</v>
      </c>
    </row>
    <row r="21" spans="2:15" ht="14.1" customHeight="1" x14ac:dyDescent="0.3">
      <c r="B21" s="117"/>
      <c r="C21" s="117"/>
      <c r="D21" s="117"/>
      <c r="E21" s="68"/>
      <c r="F21" s="39"/>
      <c r="G21" s="39"/>
      <c r="H21" s="39"/>
      <c r="I21" s="39"/>
      <c r="J21" s="39"/>
      <c r="K21" s="39"/>
      <c r="L21" s="39"/>
      <c r="M21" s="39"/>
      <c r="N21" s="39"/>
      <c r="O21" s="67">
        <f t="shared" si="0"/>
        <v>0</v>
      </c>
    </row>
    <row r="22" spans="2:15" ht="14.1" customHeight="1" x14ac:dyDescent="0.3">
      <c r="B22" s="117"/>
      <c r="C22" s="117"/>
      <c r="D22" s="117"/>
      <c r="E22" s="68"/>
      <c r="F22" s="39"/>
      <c r="G22" s="39"/>
      <c r="H22" s="39"/>
      <c r="I22" s="39"/>
      <c r="J22" s="39"/>
      <c r="K22" s="39"/>
      <c r="L22" s="39"/>
      <c r="M22" s="39"/>
      <c r="N22" s="39"/>
      <c r="O22" s="67">
        <f t="shared" si="0"/>
        <v>0</v>
      </c>
    </row>
    <row r="23" spans="2:15" ht="14.1" customHeight="1" x14ac:dyDescent="0.3">
      <c r="B23" s="117"/>
      <c r="C23" s="117"/>
      <c r="D23" s="117"/>
      <c r="E23" s="68"/>
      <c r="F23" s="39"/>
      <c r="G23" s="39"/>
      <c r="H23" s="39"/>
      <c r="I23" s="39"/>
      <c r="J23" s="39"/>
      <c r="K23" s="39"/>
      <c r="L23" s="39"/>
      <c r="M23" s="39"/>
      <c r="N23" s="39"/>
      <c r="O23" s="67">
        <f t="shared" si="0"/>
        <v>0</v>
      </c>
    </row>
    <row r="24" spans="2:15" ht="14.1" customHeight="1" x14ac:dyDescent="0.3">
      <c r="B24" s="117"/>
      <c r="C24" s="117"/>
      <c r="D24" s="117"/>
      <c r="E24" s="68"/>
      <c r="F24" s="39"/>
      <c r="G24" s="39"/>
      <c r="H24" s="39"/>
      <c r="I24" s="39"/>
      <c r="J24" s="39"/>
      <c r="K24" s="39"/>
      <c r="L24" s="39"/>
      <c r="M24" s="39"/>
      <c r="N24" s="39"/>
      <c r="O24" s="67">
        <f t="shared" si="0"/>
        <v>0</v>
      </c>
    </row>
    <row r="25" spans="2:15" ht="14.1" customHeight="1" x14ac:dyDescent="0.3">
      <c r="B25" s="117"/>
      <c r="C25" s="117"/>
      <c r="D25" s="117"/>
      <c r="E25" s="68"/>
      <c r="F25" s="39"/>
      <c r="G25" s="39"/>
      <c r="H25" s="39"/>
      <c r="I25" s="39"/>
      <c r="J25" s="39"/>
      <c r="K25" s="39"/>
      <c r="L25" s="39"/>
      <c r="M25" s="39"/>
      <c r="N25" s="39"/>
      <c r="O25" s="67">
        <f t="shared" si="0"/>
        <v>0</v>
      </c>
    </row>
    <row r="26" spans="2:15" ht="14.1" customHeight="1" x14ac:dyDescent="0.3">
      <c r="B26" s="117"/>
      <c r="C26" s="117"/>
      <c r="D26" s="117"/>
      <c r="E26" s="68"/>
      <c r="F26" s="39"/>
      <c r="G26" s="39"/>
      <c r="H26" s="39"/>
      <c r="I26" s="39"/>
      <c r="J26" s="39"/>
      <c r="K26" s="39"/>
      <c r="L26" s="39"/>
      <c r="M26" s="39"/>
      <c r="N26" s="39"/>
      <c r="O26" s="67">
        <f t="shared" si="0"/>
        <v>0</v>
      </c>
    </row>
    <row r="27" spans="2:15" ht="14.1" customHeight="1" x14ac:dyDescent="0.3">
      <c r="B27" s="117"/>
      <c r="C27" s="117"/>
      <c r="D27" s="117"/>
      <c r="E27" s="68"/>
      <c r="F27" s="39"/>
      <c r="G27" s="39"/>
      <c r="H27" s="39"/>
      <c r="I27" s="39"/>
      <c r="J27" s="39"/>
      <c r="K27" s="39"/>
      <c r="L27" s="39"/>
      <c r="M27" s="39"/>
      <c r="N27" s="39"/>
      <c r="O27" s="67">
        <f t="shared" si="0"/>
        <v>0</v>
      </c>
    </row>
    <row r="28" spans="2:15" ht="14.1" customHeight="1" x14ac:dyDescent="0.3">
      <c r="B28" s="117"/>
      <c r="C28" s="117"/>
      <c r="D28" s="117"/>
      <c r="E28" s="68"/>
      <c r="F28" s="39"/>
      <c r="G28" s="39"/>
      <c r="H28" s="39"/>
      <c r="I28" s="39"/>
      <c r="J28" s="39"/>
      <c r="K28" s="39"/>
      <c r="L28" s="39"/>
      <c r="M28" s="39"/>
      <c r="N28" s="39"/>
      <c r="O28" s="67">
        <f t="shared" si="0"/>
        <v>0</v>
      </c>
    </row>
    <row r="29" spans="2:15" ht="14.1" customHeight="1" x14ac:dyDescent="0.3">
      <c r="B29" s="117"/>
      <c r="C29" s="117"/>
      <c r="D29" s="117"/>
      <c r="E29" s="68"/>
      <c r="F29" s="39"/>
      <c r="G29" s="39"/>
      <c r="H29" s="39"/>
      <c r="I29" s="39"/>
      <c r="J29" s="39"/>
      <c r="K29" s="39"/>
      <c r="L29" s="39"/>
      <c r="M29" s="39"/>
      <c r="N29" s="39"/>
      <c r="O29" s="67">
        <f t="shared" si="0"/>
        <v>0</v>
      </c>
    </row>
    <row r="30" spans="2:15" ht="14.1" customHeight="1" x14ac:dyDescent="0.3">
      <c r="B30" s="117"/>
      <c r="C30" s="117"/>
      <c r="D30" s="117"/>
      <c r="E30" s="68"/>
      <c r="F30" s="39"/>
      <c r="G30" s="39"/>
      <c r="H30" s="39"/>
      <c r="I30" s="39"/>
      <c r="J30" s="39"/>
      <c r="K30" s="39"/>
      <c r="L30" s="39"/>
      <c r="M30" s="39"/>
      <c r="N30" s="39"/>
      <c r="O30" s="67">
        <f t="shared" si="0"/>
        <v>0</v>
      </c>
    </row>
    <row r="31" spans="2:15" ht="14.1" customHeight="1" x14ac:dyDescent="0.3">
      <c r="B31" s="117"/>
      <c r="C31" s="117"/>
      <c r="D31" s="117"/>
      <c r="E31" s="68"/>
      <c r="F31" s="39"/>
      <c r="G31" s="39"/>
      <c r="H31" s="39"/>
      <c r="I31" s="39"/>
      <c r="J31" s="39"/>
      <c r="K31" s="39"/>
      <c r="L31" s="39"/>
      <c r="M31" s="39"/>
      <c r="N31" s="39"/>
      <c r="O31" s="67">
        <f t="shared" si="0"/>
        <v>0</v>
      </c>
    </row>
    <row r="32" spans="2:15" ht="14.1" customHeight="1" x14ac:dyDescent="0.3">
      <c r="B32" s="145" t="s">
        <v>29</v>
      </c>
      <c r="C32" s="145"/>
      <c r="D32" s="145"/>
      <c r="E32" s="145"/>
      <c r="F32" s="145"/>
      <c r="G32" s="145"/>
      <c r="H32" s="145"/>
      <c r="I32" s="54">
        <f>SUM(I20:I31)</f>
        <v>0</v>
      </c>
      <c r="J32" s="54">
        <f>SUM(J20:J31)</f>
        <v>0</v>
      </c>
      <c r="K32" s="54">
        <f>SUM(K20:K31)</f>
        <v>0</v>
      </c>
      <c r="L32" s="54">
        <f>SUM(L20:L31)</f>
        <v>0</v>
      </c>
      <c r="M32" s="56"/>
      <c r="N32" s="54">
        <f>SUM(N20:N31)</f>
        <v>0</v>
      </c>
      <c r="O32" s="54">
        <f>SUM(O20:O31)</f>
        <v>0</v>
      </c>
    </row>
    <row r="34" spans="1:18" ht="14.1" customHeight="1" x14ac:dyDescent="0.3">
      <c r="A34" s="34" t="s">
        <v>147</v>
      </c>
      <c r="B34" s="143" t="s">
        <v>148</v>
      </c>
      <c r="C34" s="143"/>
      <c r="D34" s="143"/>
      <c r="E34" s="143"/>
      <c r="F34" s="143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6" spans="1:18" ht="14.1" customHeight="1" x14ac:dyDescent="0.3">
      <c r="B36" s="15"/>
      <c r="C36" s="15"/>
      <c r="D36" s="15"/>
      <c r="E36" s="116" t="s">
        <v>140</v>
      </c>
      <c r="F36" s="116" t="s">
        <v>149</v>
      </c>
      <c r="G36" s="116"/>
      <c r="H36" s="116"/>
      <c r="I36" s="116" t="s">
        <v>150</v>
      </c>
      <c r="J36" s="116"/>
      <c r="K36" s="116"/>
      <c r="L36" s="116"/>
      <c r="M36" s="116" t="s">
        <v>145</v>
      </c>
      <c r="N36" s="116"/>
      <c r="O36" s="116"/>
    </row>
    <row r="37" spans="1:18" ht="14.1" customHeight="1" x14ac:dyDescent="0.3">
      <c r="B37" s="116" t="s">
        <v>5</v>
      </c>
      <c r="C37" s="116"/>
      <c r="D37" s="116"/>
      <c r="E37" s="116"/>
      <c r="F37" s="9" t="s">
        <v>7</v>
      </c>
      <c r="G37" s="4" t="s">
        <v>8</v>
      </c>
      <c r="H37" s="9" t="s">
        <v>6</v>
      </c>
      <c r="I37" s="9" t="s">
        <v>116</v>
      </c>
      <c r="J37" s="23" t="s">
        <v>142</v>
      </c>
      <c r="K37" s="23" t="s">
        <v>143</v>
      </c>
      <c r="L37" s="9" t="s">
        <v>144</v>
      </c>
      <c r="M37" s="4" t="s">
        <v>7</v>
      </c>
      <c r="N37" s="9" t="s">
        <v>6</v>
      </c>
      <c r="O37" s="9" t="s">
        <v>151</v>
      </c>
    </row>
    <row r="38" spans="1:18" ht="14.1" customHeight="1" x14ac:dyDescent="0.3">
      <c r="B38" s="116"/>
      <c r="C38" s="116"/>
      <c r="D38" s="116"/>
      <c r="E38" s="116"/>
      <c r="F38" s="17" t="s">
        <v>13</v>
      </c>
      <c r="G38" s="69" t="s">
        <v>13</v>
      </c>
      <c r="H38" s="17" t="s">
        <v>13</v>
      </c>
      <c r="I38" s="17" t="s">
        <v>15</v>
      </c>
      <c r="J38" s="17" t="s">
        <v>15</v>
      </c>
      <c r="K38" s="17" t="s">
        <v>146</v>
      </c>
      <c r="L38" s="17" t="s">
        <v>146</v>
      </c>
      <c r="M38" s="69" t="s">
        <v>13</v>
      </c>
      <c r="N38" s="17" t="s">
        <v>13</v>
      </c>
      <c r="O38" s="17" t="s">
        <v>14</v>
      </c>
    </row>
    <row r="39" spans="1:18" ht="14.1" customHeight="1" x14ac:dyDescent="0.3">
      <c r="B39" s="117"/>
      <c r="C39" s="117"/>
      <c r="D39" s="117"/>
      <c r="E39" s="9"/>
      <c r="F39" s="17"/>
      <c r="G39" s="69"/>
      <c r="H39" s="17"/>
      <c r="I39" s="17"/>
      <c r="J39" s="17"/>
      <c r="K39" s="17"/>
      <c r="L39" s="17"/>
      <c r="M39" s="69"/>
      <c r="N39" s="17"/>
      <c r="O39" s="70">
        <f t="shared" ref="O39:O58" si="1">M39*N39</f>
        <v>0</v>
      </c>
    </row>
    <row r="40" spans="1:18" ht="14.1" customHeight="1" x14ac:dyDescent="0.3">
      <c r="B40" s="117"/>
      <c r="C40" s="117"/>
      <c r="D40" s="117"/>
      <c r="E40" s="9"/>
      <c r="F40" s="17"/>
      <c r="G40" s="69"/>
      <c r="H40" s="17"/>
      <c r="I40" s="17"/>
      <c r="J40" s="17"/>
      <c r="K40" s="17"/>
      <c r="L40" s="17"/>
      <c r="M40" s="69"/>
      <c r="N40" s="17"/>
      <c r="O40" s="70">
        <f t="shared" si="1"/>
        <v>0</v>
      </c>
    </row>
    <row r="41" spans="1:18" ht="14.1" customHeight="1" x14ac:dyDescent="0.3">
      <c r="B41" s="117"/>
      <c r="C41" s="117"/>
      <c r="D41" s="117"/>
      <c r="E41" s="9"/>
      <c r="F41" s="17"/>
      <c r="G41" s="69"/>
      <c r="H41" s="17"/>
      <c r="I41" s="17"/>
      <c r="J41" s="17"/>
      <c r="K41" s="17"/>
      <c r="L41" s="17"/>
      <c r="M41" s="69"/>
      <c r="N41" s="17"/>
      <c r="O41" s="70">
        <f t="shared" si="1"/>
        <v>0</v>
      </c>
    </row>
    <row r="42" spans="1:18" ht="14.1" customHeight="1" x14ac:dyDescent="0.3">
      <c r="B42" s="117"/>
      <c r="C42" s="117"/>
      <c r="D42" s="117"/>
      <c r="E42" s="9"/>
      <c r="F42" s="17"/>
      <c r="G42" s="69"/>
      <c r="H42" s="17"/>
      <c r="I42" s="17"/>
      <c r="J42" s="17"/>
      <c r="K42" s="17"/>
      <c r="L42" s="17"/>
      <c r="M42" s="69"/>
      <c r="N42" s="17"/>
      <c r="O42" s="70">
        <f t="shared" si="1"/>
        <v>0</v>
      </c>
    </row>
    <row r="43" spans="1:18" ht="14.1" customHeight="1" x14ac:dyDescent="0.3">
      <c r="B43" s="117"/>
      <c r="C43" s="117"/>
      <c r="D43" s="117"/>
      <c r="E43" s="9"/>
      <c r="F43" s="17"/>
      <c r="G43" s="69"/>
      <c r="H43" s="17"/>
      <c r="I43" s="17"/>
      <c r="J43" s="17"/>
      <c r="K43" s="17"/>
      <c r="L43" s="17"/>
      <c r="M43" s="69"/>
      <c r="N43" s="17"/>
      <c r="O43" s="70">
        <f t="shared" si="1"/>
        <v>0</v>
      </c>
    </row>
    <row r="44" spans="1:18" ht="14.1" customHeight="1" x14ac:dyDescent="0.3">
      <c r="B44" s="117"/>
      <c r="C44" s="117"/>
      <c r="D44" s="117"/>
      <c r="E44" s="9"/>
      <c r="F44" s="17"/>
      <c r="G44" s="69"/>
      <c r="H44" s="17"/>
      <c r="I44" s="17"/>
      <c r="J44" s="17"/>
      <c r="K44" s="17"/>
      <c r="L44" s="17"/>
      <c r="M44" s="69"/>
      <c r="N44" s="17"/>
      <c r="O44" s="70">
        <f t="shared" si="1"/>
        <v>0</v>
      </c>
    </row>
    <row r="45" spans="1:18" ht="14.1" customHeight="1" x14ac:dyDescent="0.3">
      <c r="B45" s="117"/>
      <c r="C45" s="117"/>
      <c r="D45" s="117"/>
      <c r="E45" s="9"/>
      <c r="F45" s="17"/>
      <c r="G45" s="69"/>
      <c r="H45" s="17"/>
      <c r="I45" s="17"/>
      <c r="J45" s="17"/>
      <c r="K45" s="17"/>
      <c r="L45" s="17"/>
      <c r="M45" s="69"/>
      <c r="N45" s="17"/>
      <c r="O45" s="70">
        <f t="shared" si="1"/>
        <v>0</v>
      </c>
    </row>
    <row r="46" spans="1:18" ht="14.1" customHeight="1" x14ac:dyDescent="0.3">
      <c r="B46" s="117"/>
      <c r="C46" s="117"/>
      <c r="D46" s="117"/>
      <c r="E46" s="9"/>
      <c r="F46" s="17"/>
      <c r="G46" s="69"/>
      <c r="H46" s="17"/>
      <c r="I46" s="17"/>
      <c r="J46" s="17"/>
      <c r="K46" s="17"/>
      <c r="L46" s="17"/>
      <c r="M46" s="69"/>
      <c r="N46" s="17"/>
      <c r="O46" s="70">
        <f t="shared" si="1"/>
        <v>0</v>
      </c>
    </row>
    <row r="47" spans="1:18" ht="14.1" customHeight="1" x14ac:dyDescent="0.3">
      <c r="B47" s="117"/>
      <c r="C47" s="117"/>
      <c r="D47" s="117"/>
      <c r="E47" s="68"/>
      <c r="F47" s="39"/>
      <c r="G47" s="71"/>
      <c r="H47" s="39"/>
      <c r="I47" s="39"/>
      <c r="J47" s="39"/>
      <c r="K47" s="39"/>
      <c r="L47" s="39"/>
      <c r="M47" s="71"/>
      <c r="N47" s="39"/>
      <c r="O47" s="70">
        <f t="shared" si="1"/>
        <v>0</v>
      </c>
    </row>
    <row r="48" spans="1:18" ht="14.1" customHeight="1" x14ac:dyDescent="0.3">
      <c r="B48" s="117"/>
      <c r="C48" s="117"/>
      <c r="D48" s="117"/>
      <c r="E48" s="68"/>
      <c r="F48" s="39"/>
      <c r="G48" s="71"/>
      <c r="H48" s="39"/>
      <c r="I48" s="39"/>
      <c r="J48" s="39"/>
      <c r="K48" s="39"/>
      <c r="L48" s="39"/>
      <c r="M48" s="71"/>
      <c r="N48" s="39"/>
      <c r="O48" s="70">
        <f t="shared" si="1"/>
        <v>0</v>
      </c>
    </row>
    <row r="49" spans="1:15" ht="14.1" customHeight="1" x14ac:dyDescent="0.3">
      <c r="B49" s="117"/>
      <c r="C49" s="117"/>
      <c r="D49" s="117"/>
      <c r="E49" s="68"/>
      <c r="F49" s="39"/>
      <c r="G49" s="71"/>
      <c r="H49" s="39"/>
      <c r="I49" s="39"/>
      <c r="J49" s="39"/>
      <c r="K49" s="39"/>
      <c r="L49" s="39"/>
      <c r="M49" s="71"/>
      <c r="N49" s="39"/>
      <c r="O49" s="70">
        <f t="shared" si="1"/>
        <v>0</v>
      </c>
    </row>
    <row r="50" spans="1:15" ht="14.1" customHeight="1" x14ac:dyDescent="0.3">
      <c r="B50" s="117"/>
      <c r="C50" s="117"/>
      <c r="D50" s="117"/>
      <c r="E50" s="68"/>
      <c r="F50" s="39"/>
      <c r="G50" s="71"/>
      <c r="H50" s="39"/>
      <c r="I50" s="39"/>
      <c r="J50" s="39"/>
      <c r="K50" s="39"/>
      <c r="L50" s="39"/>
      <c r="M50" s="71"/>
      <c r="N50" s="39"/>
      <c r="O50" s="70">
        <f t="shared" si="1"/>
        <v>0</v>
      </c>
    </row>
    <row r="51" spans="1:15" ht="14.1" customHeight="1" x14ac:dyDescent="0.3">
      <c r="B51" s="117"/>
      <c r="C51" s="117"/>
      <c r="D51" s="117"/>
      <c r="E51" s="68"/>
      <c r="F51" s="39"/>
      <c r="G51" s="71"/>
      <c r="H51" s="39"/>
      <c r="I51" s="39"/>
      <c r="J51" s="39"/>
      <c r="K51" s="39"/>
      <c r="L51" s="39"/>
      <c r="M51" s="71"/>
      <c r="N51" s="39"/>
      <c r="O51" s="70">
        <f t="shared" si="1"/>
        <v>0</v>
      </c>
    </row>
    <row r="52" spans="1:15" ht="14.1" customHeight="1" x14ac:dyDescent="0.3">
      <c r="B52" s="117"/>
      <c r="C52" s="117"/>
      <c r="D52" s="117"/>
      <c r="E52" s="68"/>
      <c r="F52" s="39"/>
      <c r="G52" s="71"/>
      <c r="H52" s="39"/>
      <c r="I52" s="39"/>
      <c r="J52" s="39"/>
      <c r="K52" s="39"/>
      <c r="L52" s="39"/>
      <c r="M52" s="71"/>
      <c r="N52" s="39"/>
      <c r="O52" s="70">
        <f t="shared" si="1"/>
        <v>0</v>
      </c>
    </row>
    <row r="53" spans="1:15" ht="14.1" customHeight="1" x14ac:dyDescent="0.3">
      <c r="B53" s="117"/>
      <c r="C53" s="117"/>
      <c r="D53" s="117"/>
      <c r="E53" s="68"/>
      <c r="F53" s="39"/>
      <c r="G53" s="71"/>
      <c r="H53" s="39"/>
      <c r="I53" s="39"/>
      <c r="J53" s="39"/>
      <c r="K53" s="39"/>
      <c r="L53" s="39"/>
      <c r="M53" s="71"/>
      <c r="N53" s="39"/>
      <c r="O53" s="70">
        <f t="shared" si="1"/>
        <v>0</v>
      </c>
    </row>
    <row r="54" spans="1:15" ht="14.1" customHeight="1" x14ac:dyDescent="0.3">
      <c r="B54" s="117"/>
      <c r="C54" s="117"/>
      <c r="D54" s="117"/>
      <c r="E54" s="68"/>
      <c r="F54" s="39"/>
      <c r="G54" s="71"/>
      <c r="H54" s="39"/>
      <c r="I54" s="39"/>
      <c r="J54" s="39"/>
      <c r="K54" s="39"/>
      <c r="L54" s="39"/>
      <c r="M54" s="71"/>
      <c r="N54" s="39"/>
      <c r="O54" s="70">
        <f t="shared" si="1"/>
        <v>0</v>
      </c>
    </row>
    <row r="55" spans="1:15" ht="14.1" customHeight="1" x14ac:dyDescent="0.3">
      <c r="B55" s="117"/>
      <c r="C55" s="117"/>
      <c r="D55" s="117"/>
      <c r="E55" s="68"/>
      <c r="F55" s="39"/>
      <c r="G55" s="71"/>
      <c r="H55" s="39"/>
      <c r="I55" s="39"/>
      <c r="J55" s="39"/>
      <c r="K55" s="39"/>
      <c r="L55" s="39"/>
      <c r="M55" s="71"/>
      <c r="N55" s="39"/>
      <c r="O55" s="70">
        <f t="shared" si="1"/>
        <v>0</v>
      </c>
    </row>
    <row r="56" spans="1:15" ht="14.1" customHeight="1" x14ac:dyDescent="0.3">
      <c r="B56" s="117"/>
      <c r="C56" s="117"/>
      <c r="D56" s="117"/>
      <c r="E56" s="68"/>
      <c r="F56" s="39"/>
      <c r="G56" s="71"/>
      <c r="H56" s="39"/>
      <c r="I56" s="39"/>
      <c r="J56" s="39"/>
      <c r="K56" s="39"/>
      <c r="L56" s="39"/>
      <c r="M56" s="71"/>
      <c r="N56" s="39"/>
      <c r="O56" s="70">
        <f t="shared" si="1"/>
        <v>0</v>
      </c>
    </row>
    <row r="57" spans="1:15" ht="14.1" customHeight="1" x14ac:dyDescent="0.3">
      <c r="B57" s="117"/>
      <c r="C57" s="117"/>
      <c r="D57" s="117"/>
      <c r="E57" s="68"/>
      <c r="F57" s="39"/>
      <c r="G57" s="71"/>
      <c r="H57" s="39"/>
      <c r="I57" s="39"/>
      <c r="J57" s="39"/>
      <c r="K57" s="39"/>
      <c r="L57" s="39"/>
      <c r="M57" s="71"/>
      <c r="N57" s="39"/>
      <c r="O57" s="70">
        <f t="shared" si="1"/>
        <v>0</v>
      </c>
    </row>
    <row r="58" spans="1:15" ht="14.1" customHeight="1" x14ac:dyDescent="0.3">
      <c r="B58" s="117"/>
      <c r="C58" s="117"/>
      <c r="D58" s="117"/>
      <c r="E58" s="68"/>
      <c r="F58" s="39"/>
      <c r="G58" s="71"/>
      <c r="H58" s="39"/>
      <c r="I58" s="39"/>
      <c r="J58" s="39"/>
      <c r="K58" s="39"/>
      <c r="L58" s="39"/>
      <c r="M58" s="71"/>
      <c r="N58" s="39"/>
      <c r="O58" s="70">
        <f t="shared" si="1"/>
        <v>0</v>
      </c>
    </row>
    <row r="59" spans="1:15" ht="14.1" customHeight="1" x14ac:dyDescent="0.3">
      <c r="B59" s="145" t="s">
        <v>29</v>
      </c>
      <c r="C59" s="145"/>
      <c r="D59" s="145"/>
      <c r="E59" s="145"/>
      <c r="F59" s="145"/>
      <c r="G59" s="145"/>
      <c r="H59" s="145"/>
      <c r="I59" s="54">
        <f>SUM(I39:I58)</f>
        <v>0</v>
      </c>
      <c r="J59" s="54">
        <f>SUM(J39:J58)</f>
        <v>0</v>
      </c>
      <c r="K59" s="54">
        <f>SUM(K39:K58)</f>
        <v>0</v>
      </c>
      <c r="L59" s="54">
        <f>SUM(L39:L58)</f>
        <v>0</v>
      </c>
      <c r="M59" s="56"/>
      <c r="N59" s="54">
        <f>SUM(N39:N58)</f>
        <v>0</v>
      </c>
      <c r="O59" s="54">
        <f>SUM(O39:O58)</f>
        <v>0</v>
      </c>
    </row>
    <row r="61" spans="1:15" x14ac:dyDescent="0.3">
      <c r="A61" s="34" t="s">
        <v>152</v>
      </c>
      <c r="B61" s="143" t="s">
        <v>153</v>
      </c>
      <c r="C61" s="143"/>
      <c r="D61" s="143"/>
      <c r="E61" s="143"/>
      <c r="F61" s="143"/>
      <c r="G61" s="11"/>
      <c r="H61" s="11"/>
      <c r="I61" s="11"/>
      <c r="J61" s="11"/>
      <c r="K61" s="11"/>
      <c r="L61" s="11"/>
      <c r="M61" s="11"/>
      <c r="N61" s="11"/>
      <c r="O61" s="11"/>
    </row>
    <row r="63" spans="1:15" ht="14.1" customHeight="1" x14ac:dyDescent="0.3">
      <c r="B63" s="15"/>
      <c r="C63" s="15"/>
      <c r="D63" s="15"/>
      <c r="E63" s="116" t="s">
        <v>140</v>
      </c>
      <c r="F63" s="116" t="s">
        <v>149</v>
      </c>
      <c r="G63" s="116"/>
      <c r="H63" s="116"/>
      <c r="I63" s="116" t="s">
        <v>150</v>
      </c>
      <c r="J63" s="116"/>
      <c r="K63" s="116"/>
      <c r="L63" s="116"/>
      <c r="M63" s="116" t="s">
        <v>145</v>
      </c>
      <c r="N63" s="116"/>
      <c r="O63" s="116"/>
    </row>
    <row r="64" spans="1:15" ht="14.1" customHeight="1" x14ac:dyDescent="0.3">
      <c r="B64" s="116" t="s">
        <v>5</v>
      </c>
      <c r="C64" s="116"/>
      <c r="D64" s="116"/>
      <c r="E64" s="116"/>
      <c r="F64" s="9" t="s">
        <v>7</v>
      </c>
      <c r="G64" s="4" t="s">
        <v>8</v>
      </c>
      <c r="H64" s="9" t="s">
        <v>6</v>
      </c>
      <c r="I64" s="9" t="s">
        <v>116</v>
      </c>
      <c r="J64" s="23" t="s">
        <v>142</v>
      </c>
      <c r="K64" s="23" t="s">
        <v>143</v>
      </c>
      <c r="L64" s="9" t="s">
        <v>144</v>
      </c>
      <c r="M64" s="4" t="s">
        <v>7</v>
      </c>
      <c r="N64" s="9" t="s">
        <v>6</v>
      </c>
      <c r="O64" s="9" t="s">
        <v>151</v>
      </c>
    </row>
    <row r="65" spans="2:15" x14ac:dyDescent="0.3">
      <c r="B65" s="116"/>
      <c r="C65" s="116"/>
      <c r="D65" s="116"/>
      <c r="E65" s="116"/>
      <c r="F65" s="17" t="s">
        <v>13</v>
      </c>
      <c r="G65" s="69" t="s">
        <v>13</v>
      </c>
      <c r="H65" s="17" t="s">
        <v>13</v>
      </c>
      <c r="I65" s="17" t="s">
        <v>15</v>
      </c>
      <c r="J65" s="17" t="s">
        <v>15</v>
      </c>
      <c r="K65" s="17" t="s">
        <v>146</v>
      </c>
      <c r="L65" s="17" t="s">
        <v>146</v>
      </c>
      <c r="M65" s="69" t="s">
        <v>13</v>
      </c>
      <c r="N65" s="17" t="s">
        <v>13</v>
      </c>
      <c r="O65" s="17" t="s">
        <v>14</v>
      </c>
    </row>
    <row r="66" spans="2:15" x14ac:dyDescent="0.3">
      <c r="B66" s="117"/>
      <c r="C66" s="117"/>
      <c r="D66" s="117"/>
      <c r="E66" s="9"/>
      <c r="F66" s="17"/>
      <c r="G66" s="69"/>
      <c r="H66" s="17"/>
      <c r="I66" s="17"/>
      <c r="J66" s="17"/>
      <c r="K66" s="17"/>
      <c r="L66" s="17"/>
      <c r="M66" s="69"/>
      <c r="N66" s="17"/>
      <c r="O66" s="70">
        <f t="shared" ref="O66:O85" si="2">M66*N66</f>
        <v>0</v>
      </c>
    </row>
    <row r="67" spans="2:15" x14ac:dyDescent="0.3">
      <c r="B67" s="117"/>
      <c r="C67" s="117"/>
      <c r="D67" s="117"/>
      <c r="E67" s="9"/>
      <c r="F67" s="17"/>
      <c r="G67" s="69"/>
      <c r="H67" s="17"/>
      <c r="I67" s="17"/>
      <c r="J67" s="17"/>
      <c r="K67" s="17"/>
      <c r="L67" s="17"/>
      <c r="M67" s="69"/>
      <c r="N67" s="17"/>
      <c r="O67" s="70">
        <f t="shared" si="2"/>
        <v>0</v>
      </c>
    </row>
    <row r="68" spans="2:15" x14ac:dyDescent="0.3">
      <c r="B68" s="117"/>
      <c r="C68" s="117"/>
      <c r="D68" s="117"/>
      <c r="E68" s="9"/>
      <c r="F68" s="17"/>
      <c r="G68" s="69"/>
      <c r="H68" s="17"/>
      <c r="I68" s="17"/>
      <c r="J68" s="17"/>
      <c r="K68" s="17"/>
      <c r="L68" s="17"/>
      <c r="M68" s="69"/>
      <c r="N68" s="17"/>
      <c r="O68" s="70">
        <f t="shared" si="2"/>
        <v>0</v>
      </c>
    </row>
    <row r="69" spans="2:15" x14ac:dyDescent="0.3">
      <c r="B69" s="117"/>
      <c r="C69" s="117"/>
      <c r="D69" s="117"/>
      <c r="E69" s="9"/>
      <c r="F69" s="17"/>
      <c r="G69" s="69"/>
      <c r="H69" s="17"/>
      <c r="I69" s="17"/>
      <c r="J69" s="17"/>
      <c r="K69" s="17"/>
      <c r="L69" s="17"/>
      <c r="M69" s="69"/>
      <c r="N69" s="17"/>
      <c r="O69" s="70">
        <f t="shared" si="2"/>
        <v>0</v>
      </c>
    </row>
    <row r="70" spans="2:15" x14ac:dyDescent="0.3">
      <c r="B70" s="117"/>
      <c r="C70" s="117"/>
      <c r="D70" s="117"/>
      <c r="E70" s="9"/>
      <c r="F70" s="17"/>
      <c r="G70" s="69"/>
      <c r="H70" s="17"/>
      <c r="I70" s="17"/>
      <c r="J70" s="17"/>
      <c r="K70" s="17"/>
      <c r="L70" s="17"/>
      <c r="M70" s="69"/>
      <c r="N70" s="17"/>
      <c r="O70" s="70">
        <f t="shared" si="2"/>
        <v>0</v>
      </c>
    </row>
    <row r="71" spans="2:15" x14ac:dyDescent="0.3">
      <c r="B71" s="117"/>
      <c r="C71" s="117"/>
      <c r="D71" s="117"/>
      <c r="E71" s="9"/>
      <c r="F71" s="17"/>
      <c r="G71" s="69"/>
      <c r="H71" s="17"/>
      <c r="I71" s="17"/>
      <c r="J71" s="17"/>
      <c r="K71" s="17"/>
      <c r="L71" s="17"/>
      <c r="M71" s="69"/>
      <c r="N71" s="17"/>
      <c r="O71" s="70">
        <f t="shared" si="2"/>
        <v>0</v>
      </c>
    </row>
    <row r="72" spans="2:15" x14ac:dyDescent="0.3">
      <c r="B72" s="117"/>
      <c r="C72" s="117"/>
      <c r="D72" s="117"/>
      <c r="E72" s="9"/>
      <c r="F72" s="17"/>
      <c r="G72" s="69"/>
      <c r="H72" s="17"/>
      <c r="I72" s="17"/>
      <c r="J72" s="17"/>
      <c r="K72" s="17"/>
      <c r="L72" s="17"/>
      <c r="M72" s="69"/>
      <c r="N72" s="17"/>
      <c r="O72" s="70">
        <f t="shared" si="2"/>
        <v>0</v>
      </c>
    </row>
    <row r="73" spans="2:15" x14ac:dyDescent="0.3">
      <c r="B73" s="117"/>
      <c r="C73" s="117"/>
      <c r="D73" s="117"/>
      <c r="E73" s="9"/>
      <c r="F73" s="17"/>
      <c r="G73" s="69"/>
      <c r="H73" s="17"/>
      <c r="I73" s="17"/>
      <c r="J73" s="17"/>
      <c r="K73" s="17"/>
      <c r="L73" s="17"/>
      <c r="M73" s="69"/>
      <c r="N73" s="17"/>
      <c r="O73" s="70">
        <f t="shared" si="2"/>
        <v>0</v>
      </c>
    </row>
    <row r="74" spans="2:15" x14ac:dyDescent="0.3">
      <c r="B74" s="117"/>
      <c r="C74" s="117"/>
      <c r="D74" s="117"/>
      <c r="E74" s="68"/>
      <c r="F74" s="39"/>
      <c r="G74" s="71"/>
      <c r="H74" s="39"/>
      <c r="I74" s="39"/>
      <c r="J74" s="39"/>
      <c r="K74" s="39"/>
      <c r="L74" s="39"/>
      <c r="M74" s="71"/>
      <c r="N74" s="39"/>
      <c r="O74" s="70">
        <f t="shared" si="2"/>
        <v>0</v>
      </c>
    </row>
    <row r="75" spans="2:15" x14ac:dyDescent="0.3">
      <c r="B75" s="117"/>
      <c r="C75" s="117"/>
      <c r="D75" s="117"/>
      <c r="E75" s="68"/>
      <c r="F75" s="39"/>
      <c r="G75" s="71"/>
      <c r="H75" s="39"/>
      <c r="I75" s="39"/>
      <c r="J75" s="39"/>
      <c r="K75" s="39"/>
      <c r="L75" s="39"/>
      <c r="M75" s="71"/>
      <c r="N75" s="39"/>
      <c r="O75" s="70">
        <f t="shared" si="2"/>
        <v>0</v>
      </c>
    </row>
    <row r="76" spans="2:15" x14ac:dyDescent="0.3">
      <c r="B76" s="117"/>
      <c r="C76" s="117"/>
      <c r="D76" s="117"/>
      <c r="E76" s="68"/>
      <c r="F76" s="39"/>
      <c r="G76" s="71"/>
      <c r="H76" s="39"/>
      <c r="I76" s="39"/>
      <c r="J76" s="39"/>
      <c r="K76" s="39"/>
      <c r="L76" s="39"/>
      <c r="M76" s="71"/>
      <c r="N76" s="39"/>
      <c r="O76" s="70">
        <f t="shared" si="2"/>
        <v>0</v>
      </c>
    </row>
    <row r="77" spans="2:15" ht="14.1" customHeight="1" x14ac:dyDescent="0.3">
      <c r="B77" s="117"/>
      <c r="C77" s="117"/>
      <c r="D77" s="117"/>
      <c r="E77" s="68"/>
      <c r="F77" s="39"/>
      <c r="G77" s="71"/>
      <c r="H77" s="39"/>
      <c r="I77" s="39"/>
      <c r="J77" s="39"/>
      <c r="K77" s="39"/>
      <c r="L77" s="39"/>
      <c r="M77" s="71"/>
      <c r="N77" s="39"/>
      <c r="O77" s="70">
        <f t="shared" si="2"/>
        <v>0</v>
      </c>
    </row>
    <row r="78" spans="2:15" x14ac:dyDescent="0.3">
      <c r="B78" s="117"/>
      <c r="C78" s="117"/>
      <c r="D78" s="117"/>
      <c r="E78" s="68"/>
      <c r="F78" s="39"/>
      <c r="G78" s="71"/>
      <c r="H78" s="39"/>
      <c r="I78" s="39"/>
      <c r="J78" s="39"/>
      <c r="K78" s="39"/>
      <c r="L78" s="39"/>
      <c r="M78" s="71"/>
      <c r="N78" s="39"/>
      <c r="O78" s="70">
        <f t="shared" si="2"/>
        <v>0</v>
      </c>
    </row>
    <row r="79" spans="2:15" ht="14.1" customHeight="1" x14ac:dyDescent="0.3">
      <c r="B79" s="117"/>
      <c r="C79" s="117"/>
      <c r="D79" s="117"/>
      <c r="E79" s="68"/>
      <c r="F79" s="39"/>
      <c r="G79" s="71"/>
      <c r="H79" s="39"/>
      <c r="I79" s="39"/>
      <c r="J79" s="39"/>
      <c r="K79" s="39"/>
      <c r="L79" s="39"/>
      <c r="M79" s="71"/>
      <c r="N79" s="39"/>
      <c r="O79" s="70">
        <f t="shared" si="2"/>
        <v>0</v>
      </c>
    </row>
    <row r="80" spans="2:15" ht="14.1" customHeight="1" x14ac:dyDescent="0.3">
      <c r="B80" s="117"/>
      <c r="C80" s="117"/>
      <c r="D80" s="117"/>
      <c r="E80" s="68"/>
      <c r="F80" s="39"/>
      <c r="G80" s="71"/>
      <c r="H80" s="39"/>
      <c r="I80" s="39"/>
      <c r="J80" s="39"/>
      <c r="K80" s="39"/>
      <c r="L80" s="39"/>
      <c r="M80" s="71"/>
      <c r="N80" s="39"/>
      <c r="O80" s="70">
        <f t="shared" si="2"/>
        <v>0</v>
      </c>
    </row>
    <row r="81" spans="1:15" ht="14.1" customHeight="1" x14ac:dyDescent="0.3">
      <c r="B81" s="117"/>
      <c r="C81" s="117"/>
      <c r="D81" s="117"/>
      <c r="E81" s="68"/>
      <c r="F81" s="39"/>
      <c r="G81" s="71"/>
      <c r="H81" s="39"/>
      <c r="I81" s="39"/>
      <c r="J81" s="39"/>
      <c r="K81" s="39"/>
      <c r="L81" s="39"/>
      <c r="M81" s="71"/>
      <c r="N81" s="39"/>
      <c r="O81" s="70">
        <f t="shared" si="2"/>
        <v>0</v>
      </c>
    </row>
    <row r="82" spans="1:15" ht="14.1" customHeight="1" x14ac:dyDescent="0.3">
      <c r="B82" s="117"/>
      <c r="C82" s="117"/>
      <c r="D82" s="117"/>
      <c r="E82" s="68"/>
      <c r="F82" s="39"/>
      <c r="G82" s="71"/>
      <c r="H82" s="39"/>
      <c r="I82" s="39"/>
      <c r="J82" s="39"/>
      <c r="K82" s="39"/>
      <c r="L82" s="39"/>
      <c r="M82" s="71"/>
      <c r="N82" s="39"/>
      <c r="O82" s="70">
        <f t="shared" si="2"/>
        <v>0</v>
      </c>
    </row>
    <row r="83" spans="1:15" ht="14.1" customHeight="1" x14ac:dyDescent="0.3">
      <c r="B83" s="117"/>
      <c r="C83" s="117"/>
      <c r="D83" s="117"/>
      <c r="E83" s="68"/>
      <c r="F83" s="39"/>
      <c r="G83" s="71"/>
      <c r="H83" s="39"/>
      <c r="I83" s="39"/>
      <c r="J83" s="39"/>
      <c r="K83" s="39"/>
      <c r="L83" s="39"/>
      <c r="M83" s="71"/>
      <c r="N83" s="39"/>
      <c r="O83" s="70">
        <f t="shared" si="2"/>
        <v>0</v>
      </c>
    </row>
    <row r="84" spans="1:15" ht="14.1" customHeight="1" x14ac:dyDescent="0.3">
      <c r="B84" s="117"/>
      <c r="C84" s="117"/>
      <c r="D84" s="117"/>
      <c r="E84" s="68"/>
      <c r="F84" s="39"/>
      <c r="G84" s="71"/>
      <c r="H84" s="39"/>
      <c r="I84" s="39"/>
      <c r="J84" s="39"/>
      <c r="K84" s="39"/>
      <c r="L84" s="39"/>
      <c r="M84" s="71"/>
      <c r="N84" s="39"/>
      <c r="O84" s="70">
        <f t="shared" si="2"/>
        <v>0</v>
      </c>
    </row>
    <row r="85" spans="1:15" ht="14.1" customHeight="1" x14ac:dyDescent="0.3">
      <c r="B85" s="117"/>
      <c r="C85" s="117"/>
      <c r="D85" s="117"/>
      <c r="E85" s="68"/>
      <c r="F85" s="39"/>
      <c r="G85" s="71"/>
      <c r="H85" s="39"/>
      <c r="I85" s="39"/>
      <c r="J85" s="39"/>
      <c r="K85" s="39"/>
      <c r="L85" s="39"/>
      <c r="M85" s="71"/>
      <c r="N85" s="39"/>
      <c r="O85" s="70">
        <f t="shared" si="2"/>
        <v>0</v>
      </c>
    </row>
    <row r="86" spans="1:15" ht="14.1" customHeight="1" x14ac:dyDescent="0.3">
      <c r="B86" s="145" t="s">
        <v>29</v>
      </c>
      <c r="C86" s="145"/>
      <c r="D86" s="145"/>
      <c r="E86" s="145"/>
      <c r="F86" s="145"/>
      <c r="G86" s="145"/>
      <c r="H86" s="145"/>
      <c r="I86" s="54">
        <f>SUM(I66:I85)</f>
        <v>0</v>
      </c>
      <c r="J86" s="54">
        <f>SUM(J66:J85)</f>
        <v>0</v>
      </c>
      <c r="K86" s="54">
        <f>SUM(K66:K85)</f>
        <v>0</v>
      </c>
      <c r="L86" s="54">
        <f>SUM(L66:L85)</f>
        <v>0</v>
      </c>
      <c r="M86" s="56"/>
      <c r="N86" s="54">
        <f>SUM(N66:N85)</f>
        <v>0</v>
      </c>
      <c r="O86" s="54">
        <f>SUM(O66:O85)</f>
        <v>0</v>
      </c>
    </row>
    <row r="87" spans="1:15" ht="14.1" customHeight="1" x14ac:dyDescent="0.3">
      <c r="B87" s="36"/>
      <c r="C87" s="36"/>
      <c r="D87" s="36"/>
      <c r="E87" s="15"/>
      <c r="F87" s="21"/>
      <c r="G87" s="21"/>
      <c r="H87" s="21"/>
      <c r="I87" s="21"/>
      <c r="J87" s="21"/>
      <c r="K87" s="21"/>
      <c r="L87" s="22"/>
    </row>
    <row r="88" spans="1:15" ht="14.1" customHeight="1" x14ac:dyDescent="0.3">
      <c r="A88" s="34" t="s">
        <v>154</v>
      </c>
      <c r="B88" s="143" t="s">
        <v>155</v>
      </c>
      <c r="C88" s="143"/>
      <c r="D88" s="143"/>
      <c r="E88" s="143"/>
      <c r="F88" s="143"/>
      <c r="G88" s="11"/>
      <c r="H88" s="11"/>
      <c r="I88" s="11"/>
      <c r="J88" s="11"/>
      <c r="K88" s="11"/>
      <c r="L88" s="11"/>
      <c r="M88" s="11"/>
      <c r="N88" s="11"/>
      <c r="O88" s="11"/>
    </row>
    <row r="89" spans="1:15" ht="14.1" customHeight="1" x14ac:dyDescent="0.3"/>
    <row r="90" spans="1:15" ht="14.1" customHeight="1" x14ac:dyDescent="0.3">
      <c r="B90" s="15"/>
      <c r="C90" s="15"/>
      <c r="D90" s="15"/>
      <c r="E90" s="116" t="s">
        <v>140</v>
      </c>
      <c r="F90" s="116" t="s">
        <v>149</v>
      </c>
      <c r="G90" s="116"/>
      <c r="H90" s="116"/>
      <c r="I90" s="116" t="s">
        <v>150</v>
      </c>
      <c r="J90" s="116"/>
      <c r="K90" s="116"/>
      <c r="L90" s="116"/>
      <c r="M90" s="116" t="s">
        <v>145</v>
      </c>
      <c r="N90" s="116"/>
      <c r="O90" s="116"/>
    </row>
    <row r="91" spans="1:15" ht="14.1" customHeight="1" x14ac:dyDescent="0.3">
      <c r="B91" s="116" t="s">
        <v>5</v>
      </c>
      <c r="C91" s="116"/>
      <c r="D91" s="116"/>
      <c r="E91" s="116"/>
      <c r="F91" s="9" t="s">
        <v>7</v>
      </c>
      <c r="G91" s="4" t="s">
        <v>8</v>
      </c>
      <c r="H91" s="9" t="s">
        <v>6</v>
      </c>
      <c r="I91" s="9" t="s">
        <v>116</v>
      </c>
      <c r="J91" s="23" t="s">
        <v>142</v>
      </c>
      <c r="K91" s="23" t="s">
        <v>143</v>
      </c>
      <c r="L91" s="9" t="s">
        <v>144</v>
      </c>
      <c r="M91" s="4" t="s">
        <v>7</v>
      </c>
      <c r="N91" s="9" t="s">
        <v>6</v>
      </c>
      <c r="O91" s="9" t="s">
        <v>151</v>
      </c>
    </row>
    <row r="92" spans="1:15" ht="14.1" customHeight="1" x14ac:dyDescent="0.3">
      <c r="B92" s="116"/>
      <c r="C92" s="116"/>
      <c r="D92" s="116"/>
      <c r="E92" s="116"/>
      <c r="F92" s="17" t="s">
        <v>13</v>
      </c>
      <c r="G92" s="69" t="s">
        <v>13</v>
      </c>
      <c r="H92" s="17" t="s">
        <v>13</v>
      </c>
      <c r="I92" s="17" t="s">
        <v>15</v>
      </c>
      <c r="J92" s="17" t="s">
        <v>15</v>
      </c>
      <c r="K92" s="17" t="s">
        <v>146</v>
      </c>
      <c r="L92" s="17" t="s">
        <v>146</v>
      </c>
      <c r="M92" s="69" t="s">
        <v>13</v>
      </c>
      <c r="N92" s="17" t="s">
        <v>13</v>
      </c>
      <c r="O92" s="17" t="s">
        <v>14</v>
      </c>
    </row>
    <row r="93" spans="1:15" ht="14.1" customHeight="1" x14ac:dyDescent="0.3">
      <c r="B93" s="117"/>
      <c r="C93" s="117"/>
      <c r="D93" s="117"/>
      <c r="E93" s="9"/>
      <c r="F93" s="17"/>
      <c r="G93" s="69"/>
      <c r="H93" s="17"/>
      <c r="I93" s="17"/>
      <c r="J93" s="17"/>
      <c r="K93" s="17"/>
      <c r="L93" s="17"/>
      <c r="M93" s="69"/>
      <c r="N93" s="17"/>
      <c r="O93" s="70">
        <f t="shared" ref="O93:O112" si="3">M93*N93</f>
        <v>0</v>
      </c>
    </row>
    <row r="94" spans="1:15" ht="14.1" customHeight="1" x14ac:dyDescent="0.3">
      <c r="B94" s="117"/>
      <c r="C94" s="117"/>
      <c r="D94" s="117"/>
      <c r="E94" s="9"/>
      <c r="F94" s="17"/>
      <c r="G94" s="69"/>
      <c r="H94" s="17"/>
      <c r="I94" s="17"/>
      <c r="J94" s="17"/>
      <c r="K94" s="17"/>
      <c r="L94" s="17"/>
      <c r="M94" s="69"/>
      <c r="N94" s="17"/>
      <c r="O94" s="70">
        <f t="shared" si="3"/>
        <v>0</v>
      </c>
    </row>
    <row r="95" spans="1:15" ht="14.1" customHeight="1" x14ac:dyDescent="0.3">
      <c r="B95" s="117"/>
      <c r="C95" s="117"/>
      <c r="D95" s="117"/>
      <c r="E95" s="9"/>
      <c r="F95" s="17"/>
      <c r="G95" s="69"/>
      <c r="H95" s="17"/>
      <c r="I95" s="17"/>
      <c r="J95" s="17"/>
      <c r="K95" s="17"/>
      <c r="L95" s="17"/>
      <c r="M95" s="69"/>
      <c r="N95" s="17"/>
      <c r="O95" s="70">
        <f t="shared" si="3"/>
        <v>0</v>
      </c>
    </row>
    <row r="96" spans="1:15" ht="14.1" customHeight="1" x14ac:dyDescent="0.3">
      <c r="B96" s="117"/>
      <c r="C96" s="117"/>
      <c r="D96" s="117"/>
      <c r="E96" s="9"/>
      <c r="F96" s="17"/>
      <c r="G96" s="69"/>
      <c r="H96" s="17"/>
      <c r="I96" s="17"/>
      <c r="J96" s="17"/>
      <c r="K96" s="17"/>
      <c r="L96" s="17"/>
      <c r="M96" s="69"/>
      <c r="N96" s="17"/>
      <c r="O96" s="70">
        <f t="shared" si="3"/>
        <v>0</v>
      </c>
    </row>
    <row r="97" spans="2:15" ht="14.1" customHeight="1" x14ac:dyDescent="0.3">
      <c r="B97" s="117"/>
      <c r="C97" s="117"/>
      <c r="D97" s="117"/>
      <c r="E97" s="9"/>
      <c r="F97" s="17"/>
      <c r="G97" s="69"/>
      <c r="H97" s="17"/>
      <c r="I97" s="17"/>
      <c r="J97" s="17"/>
      <c r="K97" s="17"/>
      <c r="L97" s="17"/>
      <c r="M97" s="69"/>
      <c r="N97" s="17"/>
      <c r="O97" s="70">
        <f t="shared" si="3"/>
        <v>0</v>
      </c>
    </row>
    <row r="98" spans="2:15" ht="14.1" customHeight="1" x14ac:dyDescent="0.3">
      <c r="B98" s="117"/>
      <c r="C98" s="117"/>
      <c r="D98" s="117"/>
      <c r="E98" s="9"/>
      <c r="F98" s="17"/>
      <c r="G98" s="69"/>
      <c r="H98" s="17"/>
      <c r="I98" s="17"/>
      <c r="J98" s="17"/>
      <c r="K98" s="17"/>
      <c r="L98" s="17"/>
      <c r="M98" s="69"/>
      <c r="N98" s="17"/>
      <c r="O98" s="70">
        <f t="shared" si="3"/>
        <v>0</v>
      </c>
    </row>
    <row r="99" spans="2:15" ht="14.1" customHeight="1" x14ac:dyDescent="0.3">
      <c r="B99" s="117"/>
      <c r="C99" s="117"/>
      <c r="D99" s="117"/>
      <c r="E99" s="9"/>
      <c r="F99" s="17"/>
      <c r="G99" s="69"/>
      <c r="H99" s="17"/>
      <c r="I99" s="17"/>
      <c r="J99" s="17"/>
      <c r="K99" s="17"/>
      <c r="L99" s="17"/>
      <c r="M99" s="69"/>
      <c r="N99" s="17"/>
      <c r="O99" s="70">
        <f t="shared" si="3"/>
        <v>0</v>
      </c>
    </row>
    <row r="100" spans="2:15" ht="14.1" customHeight="1" x14ac:dyDescent="0.3">
      <c r="B100" s="117"/>
      <c r="C100" s="117"/>
      <c r="D100" s="117"/>
      <c r="E100" s="9"/>
      <c r="F100" s="17"/>
      <c r="G100" s="69"/>
      <c r="H100" s="17"/>
      <c r="I100" s="17"/>
      <c r="J100" s="17"/>
      <c r="K100" s="17"/>
      <c r="L100" s="17"/>
      <c r="M100" s="69"/>
      <c r="N100" s="17"/>
      <c r="O100" s="70">
        <f t="shared" si="3"/>
        <v>0</v>
      </c>
    </row>
    <row r="101" spans="2:15" ht="14.1" customHeight="1" x14ac:dyDescent="0.3">
      <c r="B101" s="117"/>
      <c r="C101" s="117"/>
      <c r="D101" s="117"/>
      <c r="E101" s="68"/>
      <c r="F101" s="39"/>
      <c r="G101" s="71"/>
      <c r="H101" s="39"/>
      <c r="I101" s="39"/>
      <c r="J101" s="39"/>
      <c r="K101" s="39"/>
      <c r="L101" s="39"/>
      <c r="M101" s="71"/>
      <c r="N101" s="39"/>
      <c r="O101" s="70">
        <f t="shared" si="3"/>
        <v>0</v>
      </c>
    </row>
    <row r="102" spans="2:15" ht="14.1" customHeight="1" x14ac:dyDescent="0.3">
      <c r="B102" s="117"/>
      <c r="C102" s="117"/>
      <c r="D102" s="117"/>
      <c r="E102" s="68"/>
      <c r="F102" s="39"/>
      <c r="G102" s="71"/>
      <c r="H102" s="39"/>
      <c r="I102" s="39"/>
      <c r="J102" s="39"/>
      <c r="K102" s="39"/>
      <c r="L102" s="39"/>
      <c r="M102" s="71"/>
      <c r="N102" s="39"/>
      <c r="O102" s="70">
        <f t="shared" si="3"/>
        <v>0</v>
      </c>
    </row>
    <row r="103" spans="2:15" x14ac:dyDescent="0.3">
      <c r="B103" s="117"/>
      <c r="C103" s="117"/>
      <c r="D103" s="117"/>
      <c r="E103" s="68"/>
      <c r="F103" s="39"/>
      <c r="G103" s="71"/>
      <c r="H103" s="39"/>
      <c r="I103" s="39"/>
      <c r="J103" s="39"/>
      <c r="K103" s="39"/>
      <c r="L103" s="39"/>
      <c r="M103" s="71"/>
      <c r="N103" s="39"/>
      <c r="O103" s="70">
        <f t="shared" si="3"/>
        <v>0</v>
      </c>
    </row>
    <row r="104" spans="2:15" x14ac:dyDescent="0.3">
      <c r="B104" s="117"/>
      <c r="C104" s="117"/>
      <c r="D104" s="117"/>
      <c r="E104" s="68"/>
      <c r="F104" s="39"/>
      <c r="G104" s="71"/>
      <c r="H104" s="39"/>
      <c r="I104" s="39"/>
      <c r="J104" s="39"/>
      <c r="K104" s="39"/>
      <c r="L104" s="39"/>
      <c r="M104" s="71"/>
      <c r="N104" s="39"/>
      <c r="O104" s="70">
        <f t="shared" si="3"/>
        <v>0</v>
      </c>
    </row>
    <row r="105" spans="2:15" x14ac:dyDescent="0.3">
      <c r="B105" s="117"/>
      <c r="C105" s="117"/>
      <c r="D105" s="117"/>
      <c r="E105" s="68"/>
      <c r="F105" s="39"/>
      <c r="G105" s="71"/>
      <c r="H105" s="39"/>
      <c r="I105" s="39"/>
      <c r="J105" s="39"/>
      <c r="K105" s="39"/>
      <c r="L105" s="39"/>
      <c r="M105" s="71"/>
      <c r="N105" s="39"/>
      <c r="O105" s="70">
        <f t="shared" si="3"/>
        <v>0</v>
      </c>
    </row>
    <row r="106" spans="2:15" x14ac:dyDescent="0.3">
      <c r="B106" s="117"/>
      <c r="C106" s="117"/>
      <c r="D106" s="117"/>
      <c r="E106" s="68"/>
      <c r="F106" s="39"/>
      <c r="G106" s="71"/>
      <c r="H106" s="39"/>
      <c r="I106" s="39"/>
      <c r="J106" s="39"/>
      <c r="K106" s="39"/>
      <c r="L106" s="39"/>
      <c r="M106" s="71"/>
      <c r="N106" s="39"/>
      <c r="O106" s="70">
        <f t="shared" si="3"/>
        <v>0</v>
      </c>
    </row>
    <row r="107" spans="2:15" x14ac:dyDescent="0.3">
      <c r="B107" s="117"/>
      <c r="C107" s="117"/>
      <c r="D107" s="117"/>
      <c r="E107" s="68"/>
      <c r="F107" s="39"/>
      <c r="G107" s="71"/>
      <c r="H107" s="39"/>
      <c r="I107" s="39"/>
      <c r="J107" s="39"/>
      <c r="K107" s="39"/>
      <c r="L107" s="39"/>
      <c r="M107" s="71"/>
      <c r="N107" s="39"/>
      <c r="O107" s="70">
        <f t="shared" si="3"/>
        <v>0</v>
      </c>
    </row>
    <row r="108" spans="2:15" x14ac:dyDescent="0.3">
      <c r="B108" s="117"/>
      <c r="C108" s="117"/>
      <c r="D108" s="117"/>
      <c r="E108" s="68"/>
      <c r="F108" s="39"/>
      <c r="G108" s="71"/>
      <c r="H108" s="39"/>
      <c r="I108" s="39"/>
      <c r="J108" s="39"/>
      <c r="K108" s="39"/>
      <c r="L108" s="39"/>
      <c r="M108" s="71"/>
      <c r="N108" s="39"/>
      <c r="O108" s="70">
        <f t="shared" si="3"/>
        <v>0</v>
      </c>
    </row>
    <row r="109" spans="2:15" x14ac:dyDescent="0.3">
      <c r="B109" s="117"/>
      <c r="C109" s="117"/>
      <c r="D109" s="117"/>
      <c r="E109" s="68"/>
      <c r="F109" s="39"/>
      <c r="G109" s="71"/>
      <c r="H109" s="39"/>
      <c r="I109" s="39"/>
      <c r="J109" s="39"/>
      <c r="K109" s="39"/>
      <c r="L109" s="39"/>
      <c r="M109" s="71"/>
      <c r="N109" s="39"/>
      <c r="O109" s="70">
        <f t="shared" si="3"/>
        <v>0</v>
      </c>
    </row>
    <row r="110" spans="2:15" x14ac:dyDescent="0.3">
      <c r="B110" s="117"/>
      <c r="C110" s="117"/>
      <c r="D110" s="117"/>
      <c r="E110" s="68"/>
      <c r="F110" s="39"/>
      <c r="G110" s="71"/>
      <c r="H110" s="39"/>
      <c r="I110" s="39"/>
      <c r="J110" s="39"/>
      <c r="K110" s="39"/>
      <c r="L110" s="39"/>
      <c r="M110" s="71"/>
      <c r="N110" s="39"/>
      <c r="O110" s="70">
        <f t="shared" si="3"/>
        <v>0</v>
      </c>
    </row>
    <row r="111" spans="2:15" x14ac:dyDescent="0.3">
      <c r="B111" s="117"/>
      <c r="C111" s="117"/>
      <c r="D111" s="117"/>
      <c r="E111" s="68"/>
      <c r="F111" s="39"/>
      <c r="G111" s="71"/>
      <c r="H111" s="39"/>
      <c r="I111" s="39"/>
      <c r="J111" s="39"/>
      <c r="K111" s="39"/>
      <c r="L111" s="39"/>
      <c r="M111" s="71"/>
      <c r="N111" s="39"/>
      <c r="O111" s="70">
        <f t="shared" si="3"/>
        <v>0</v>
      </c>
    </row>
    <row r="112" spans="2:15" x14ac:dyDescent="0.3">
      <c r="B112" s="117"/>
      <c r="C112" s="117"/>
      <c r="D112" s="117"/>
      <c r="E112" s="68"/>
      <c r="F112" s="39"/>
      <c r="G112" s="71"/>
      <c r="H112" s="39"/>
      <c r="I112" s="39"/>
      <c r="J112" s="39"/>
      <c r="K112" s="39"/>
      <c r="L112" s="39"/>
      <c r="M112" s="71"/>
      <c r="N112" s="39"/>
      <c r="O112" s="70">
        <f t="shared" si="3"/>
        <v>0</v>
      </c>
    </row>
    <row r="113" spans="1:15" ht="14.1" customHeight="1" x14ac:dyDescent="0.3">
      <c r="B113" s="145" t="s">
        <v>29</v>
      </c>
      <c r="C113" s="145"/>
      <c r="D113" s="145"/>
      <c r="E113" s="145"/>
      <c r="F113" s="145"/>
      <c r="G113" s="145"/>
      <c r="H113" s="145"/>
      <c r="I113" s="54">
        <f>SUM(I93:I112)</f>
        <v>0</v>
      </c>
      <c r="J113" s="54">
        <f>SUM(J93:J112)</f>
        <v>0</v>
      </c>
      <c r="K113" s="54">
        <f>SUM(K93:K112)</f>
        <v>0</v>
      </c>
      <c r="L113" s="54">
        <f>SUM(L93:L112)</f>
        <v>0</v>
      </c>
      <c r="M113" s="56"/>
      <c r="N113" s="54">
        <f>SUM(N93:N112)</f>
        <v>0</v>
      </c>
      <c r="O113" s="54">
        <f>SUM(O93:O112)</f>
        <v>0</v>
      </c>
    </row>
    <row r="115" spans="1:15" x14ac:dyDescent="0.3">
      <c r="A115" s="34" t="s">
        <v>156</v>
      </c>
      <c r="B115" s="143" t="s">
        <v>157</v>
      </c>
      <c r="C115" s="143"/>
      <c r="D115" s="143"/>
      <c r="E115" s="143"/>
      <c r="F115" s="143"/>
      <c r="G115" s="11"/>
      <c r="H115" s="11"/>
      <c r="I115" s="11"/>
      <c r="J115" s="11"/>
      <c r="K115" s="11"/>
      <c r="L115" s="11"/>
      <c r="M115" s="11"/>
      <c r="N115" s="11"/>
      <c r="O115" s="11"/>
    </row>
    <row r="117" spans="1:15" ht="14.1" customHeight="1" x14ac:dyDescent="0.3">
      <c r="B117" s="15"/>
      <c r="C117" s="15"/>
      <c r="D117" s="15"/>
      <c r="E117" s="116" t="s">
        <v>140</v>
      </c>
      <c r="F117" s="116" t="s">
        <v>149</v>
      </c>
      <c r="G117" s="116"/>
      <c r="H117" s="116"/>
      <c r="I117" s="116" t="s">
        <v>150</v>
      </c>
      <c r="J117" s="116"/>
      <c r="K117" s="116"/>
      <c r="L117" s="116"/>
      <c r="M117" s="116" t="s">
        <v>145</v>
      </c>
      <c r="N117" s="116"/>
      <c r="O117" s="116"/>
    </row>
    <row r="118" spans="1:15" ht="14.1" customHeight="1" x14ac:dyDescent="0.3">
      <c r="B118" s="116" t="s">
        <v>5</v>
      </c>
      <c r="C118" s="116"/>
      <c r="D118" s="116"/>
      <c r="E118" s="116"/>
      <c r="F118" s="9" t="s">
        <v>7</v>
      </c>
      <c r="G118" s="4" t="s">
        <v>8</v>
      </c>
      <c r="H118" s="9" t="s">
        <v>6</v>
      </c>
      <c r="I118" s="9" t="s">
        <v>116</v>
      </c>
      <c r="J118" s="23" t="s">
        <v>142</v>
      </c>
      <c r="K118" s="23" t="s">
        <v>143</v>
      </c>
      <c r="L118" s="9" t="s">
        <v>144</v>
      </c>
      <c r="M118" s="4" t="s">
        <v>7</v>
      </c>
      <c r="N118" s="9" t="s">
        <v>6</v>
      </c>
      <c r="O118" s="9" t="s">
        <v>151</v>
      </c>
    </row>
    <row r="119" spans="1:15" x14ac:dyDescent="0.3">
      <c r="B119" s="116"/>
      <c r="C119" s="116"/>
      <c r="D119" s="116"/>
      <c r="E119" s="116"/>
      <c r="F119" s="17" t="s">
        <v>13</v>
      </c>
      <c r="G119" s="69" t="s">
        <v>13</v>
      </c>
      <c r="H119" s="17" t="s">
        <v>13</v>
      </c>
      <c r="I119" s="17" t="s">
        <v>15</v>
      </c>
      <c r="J119" s="17" t="s">
        <v>15</v>
      </c>
      <c r="K119" s="17" t="s">
        <v>146</v>
      </c>
      <c r="L119" s="17" t="s">
        <v>146</v>
      </c>
      <c r="M119" s="69" t="s">
        <v>13</v>
      </c>
      <c r="N119" s="17" t="s">
        <v>13</v>
      </c>
      <c r="O119" s="17" t="s">
        <v>14</v>
      </c>
    </row>
    <row r="120" spans="1:15" x14ac:dyDescent="0.3">
      <c r="B120" s="117"/>
      <c r="C120" s="117"/>
      <c r="D120" s="117"/>
      <c r="E120" s="9"/>
      <c r="F120" s="17"/>
      <c r="G120" s="69"/>
      <c r="H120" s="17"/>
      <c r="I120" s="17"/>
      <c r="J120" s="17"/>
      <c r="K120" s="17"/>
      <c r="L120" s="17"/>
      <c r="M120" s="69"/>
      <c r="N120" s="17"/>
      <c r="O120" s="70">
        <f t="shared" ref="O120:O139" si="4">M120*N120</f>
        <v>0</v>
      </c>
    </row>
    <row r="121" spans="1:15" x14ac:dyDescent="0.3">
      <c r="B121" s="117"/>
      <c r="C121" s="117"/>
      <c r="D121" s="117"/>
      <c r="E121" s="9"/>
      <c r="F121" s="17"/>
      <c r="G121" s="69"/>
      <c r="H121" s="17"/>
      <c r="I121" s="17"/>
      <c r="J121" s="17"/>
      <c r="K121" s="17"/>
      <c r="L121" s="17"/>
      <c r="M121" s="69"/>
      <c r="N121" s="17"/>
      <c r="O121" s="70">
        <f t="shared" si="4"/>
        <v>0</v>
      </c>
    </row>
    <row r="122" spans="1:15" x14ac:dyDescent="0.3">
      <c r="B122" s="117"/>
      <c r="C122" s="117"/>
      <c r="D122" s="117"/>
      <c r="E122" s="9"/>
      <c r="F122" s="17"/>
      <c r="G122" s="69"/>
      <c r="H122" s="17"/>
      <c r="I122" s="17"/>
      <c r="J122" s="17"/>
      <c r="K122" s="17"/>
      <c r="L122" s="17"/>
      <c r="M122" s="69"/>
      <c r="N122" s="17"/>
      <c r="O122" s="70">
        <f t="shared" si="4"/>
        <v>0</v>
      </c>
    </row>
    <row r="123" spans="1:15" x14ac:dyDescent="0.3">
      <c r="B123" s="117"/>
      <c r="C123" s="117"/>
      <c r="D123" s="117"/>
      <c r="E123" s="9"/>
      <c r="F123" s="17"/>
      <c r="G123" s="69"/>
      <c r="H123" s="17"/>
      <c r="I123" s="17"/>
      <c r="J123" s="17"/>
      <c r="K123" s="17"/>
      <c r="L123" s="17"/>
      <c r="M123" s="69"/>
      <c r="N123" s="17"/>
      <c r="O123" s="70">
        <f t="shared" si="4"/>
        <v>0</v>
      </c>
    </row>
    <row r="124" spans="1:15" x14ac:dyDescent="0.3">
      <c r="B124" s="117"/>
      <c r="C124" s="117"/>
      <c r="D124" s="117"/>
      <c r="E124" s="9"/>
      <c r="F124" s="17"/>
      <c r="G124" s="69"/>
      <c r="H124" s="17"/>
      <c r="I124" s="17"/>
      <c r="J124" s="17"/>
      <c r="K124" s="17"/>
      <c r="L124" s="17"/>
      <c r="M124" s="69"/>
      <c r="N124" s="17"/>
      <c r="O124" s="70">
        <f t="shared" si="4"/>
        <v>0</v>
      </c>
    </row>
    <row r="125" spans="1:15" x14ac:dyDescent="0.3">
      <c r="B125" s="117"/>
      <c r="C125" s="117"/>
      <c r="D125" s="117"/>
      <c r="E125" s="9"/>
      <c r="F125" s="17"/>
      <c r="G125" s="69"/>
      <c r="H125" s="17"/>
      <c r="I125" s="17"/>
      <c r="J125" s="17"/>
      <c r="K125" s="17"/>
      <c r="L125" s="17"/>
      <c r="M125" s="69"/>
      <c r="N125" s="17"/>
      <c r="O125" s="70">
        <f t="shared" si="4"/>
        <v>0</v>
      </c>
    </row>
    <row r="126" spans="1:15" x14ac:dyDescent="0.3">
      <c r="B126" s="117"/>
      <c r="C126" s="117"/>
      <c r="D126" s="117"/>
      <c r="E126" s="9"/>
      <c r="F126" s="17"/>
      <c r="G126" s="69"/>
      <c r="H126" s="17"/>
      <c r="I126" s="17"/>
      <c r="J126" s="17"/>
      <c r="K126" s="17"/>
      <c r="L126" s="17"/>
      <c r="M126" s="69"/>
      <c r="N126" s="17"/>
      <c r="O126" s="70">
        <f t="shared" si="4"/>
        <v>0</v>
      </c>
    </row>
    <row r="127" spans="1:15" x14ac:dyDescent="0.3">
      <c r="B127" s="117"/>
      <c r="C127" s="117"/>
      <c r="D127" s="117"/>
      <c r="E127" s="9"/>
      <c r="F127" s="17"/>
      <c r="G127" s="69"/>
      <c r="H127" s="17"/>
      <c r="I127" s="17"/>
      <c r="J127" s="17"/>
      <c r="K127" s="17"/>
      <c r="L127" s="17"/>
      <c r="M127" s="69"/>
      <c r="N127" s="17"/>
      <c r="O127" s="70">
        <f t="shared" si="4"/>
        <v>0</v>
      </c>
    </row>
    <row r="128" spans="1:15" x14ac:dyDescent="0.3">
      <c r="B128" s="117"/>
      <c r="C128" s="117"/>
      <c r="D128" s="117"/>
      <c r="E128" s="68"/>
      <c r="F128" s="39"/>
      <c r="G128" s="71"/>
      <c r="H128" s="39"/>
      <c r="I128" s="39"/>
      <c r="J128" s="39"/>
      <c r="K128" s="39"/>
      <c r="L128" s="39"/>
      <c r="M128" s="71"/>
      <c r="N128" s="39"/>
      <c r="O128" s="70">
        <f t="shared" si="4"/>
        <v>0</v>
      </c>
    </row>
    <row r="129" spans="1:15" x14ac:dyDescent="0.3">
      <c r="B129" s="117"/>
      <c r="C129" s="117"/>
      <c r="D129" s="117"/>
      <c r="E129" s="68"/>
      <c r="F129" s="39"/>
      <c r="G129" s="71"/>
      <c r="H129" s="39"/>
      <c r="I129" s="39"/>
      <c r="J129" s="39"/>
      <c r="K129" s="39"/>
      <c r="L129" s="39"/>
      <c r="M129" s="71"/>
      <c r="N129" s="39"/>
      <c r="O129" s="70">
        <f t="shared" si="4"/>
        <v>0</v>
      </c>
    </row>
    <row r="130" spans="1:15" x14ac:dyDescent="0.3">
      <c r="B130" s="117"/>
      <c r="C130" s="117"/>
      <c r="D130" s="117"/>
      <c r="E130" s="68"/>
      <c r="F130" s="39"/>
      <c r="G130" s="71"/>
      <c r="H130" s="39"/>
      <c r="I130" s="39"/>
      <c r="J130" s="39"/>
      <c r="K130" s="39"/>
      <c r="L130" s="39"/>
      <c r="M130" s="71"/>
      <c r="N130" s="39"/>
      <c r="O130" s="70">
        <f t="shared" si="4"/>
        <v>0</v>
      </c>
    </row>
    <row r="131" spans="1:15" x14ac:dyDescent="0.3">
      <c r="B131" s="117"/>
      <c r="C131" s="117"/>
      <c r="D131" s="117"/>
      <c r="E131" s="68"/>
      <c r="F131" s="39"/>
      <c r="G131" s="71"/>
      <c r="H131" s="39"/>
      <c r="I131" s="39"/>
      <c r="J131" s="39"/>
      <c r="K131" s="39"/>
      <c r="L131" s="39"/>
      <c r="M131" s="71"/>
      <c r="N131" s="39"/>
      <c r="O131" s="70">
        <f t="shared" si="4"/>
        <v>0</v>
      </c>
    </row>
    <row r="132" spans="1:15" x14ac:dyDescent="0.3">
      <c r="B132" s="117"/>
      <c r="C132" s="117"/>
      <c r="D132" s="117"/>
      <c r="E132" s="68"/>
      <c r="F132" s="39"/>
      <c r="G132" s="71"/>
      <c r="H132" s="39"/>
      <c r="I132" s="39"/>
      <c r="J132" s="39"/>
      <c r="K132" s="39"/>
      <c r="L132" s="39"/>
      <c r="M132" s="71"/>
      <c r="N132" s="39"/>
      <c r="O132" s="70">
        <f t="shared" si="4"/>
        <v>0</v>
      </c>
    </row>
    <row r="133" spans="1:15" x14ac:dyDescent="0.3">
      <c r="B133" s="117"/>
      <c r="C133" s="117"/>
      <c r="D133" s="117"/>
      <c r="E133" s="68"/>
      <c r="F133" s="39"/>
      <c r="G133" s="71"/>
      <c r="H133" s="39"/>
      <c r="I133" s="39"/>
      <c r="J133" s="39"/>
      <c r="K133" s="39"/>
      <c r="L133" s="39"/>
      <c r="M133" s="71"/>
      <c r="N133" s="39"/>
      <c r="O133" s="70">
        <f t="shared" si="4"/>
        <v>0</v>
      </c>
    </row>
    <row r="134" spans="1:15" x14ac:dyDescent="0.3">
      <c r="B134" s="117"/>
      <c r="C134" s="117"/>
      <c r="D134" s="117"/>
      <c r="E134" s="68"/>
      <c r="F134" s="39"/>
      <c r="G134" s="71"/>
      <c r="H134" s="39"/>
      <c r="I134" s="39"/>
      <c r="J134" s="39"/>
      <c r="K134" s="39"/>
      <c r="L134" s="39"/>
      <c r="M134" s="71"/>
      <c r="N134" s="39"/>
      <c r="O134" s="70">
        <f t="shared" si="4"/>
        <v>0</v>
      </c>
    </row>
    <row r="135" spans="1:15" x14ac:dyDescent="0.3">
      <c r="B135" s="117"/>
      <c r="C135" s="117"/>
      <c r="D135" s="117"/>
      <c r="E135" s="68"/>
      <c r="F135" s="39"/>
      <c r="G135" s="71"/>
      <c r="H135" s="39"/>
      <c r="I135" s="39"/>
      <c r="J135" s="39"/>
      <c r="K135" s="39"/>
      <c r="L135" s="39"/>
      <c r="M135" s="71"/>
      <c r="N135" s="39"/>
      <c r="O135" s="70">
        <f t="shared" si="4"/>
        <v>0</v>
      </c>
    </row>
    <row r="136" spans="1:15" x14ac:dyDescent="0.3">
      <c r="B136" s="117"/>
      <c r="C136" s="117"/>
      <c r="D136" s="117"/>
      <c r="E136" s="68"/>
      <c r="F136" s="39"/>
      <c r="G136" s="71"/>
      <c r="H136" s="39"/>
      <c r="I136" s="39"/>
      <c r="J136" s="39"/>
      <c r="K136" s="39"/>
      <c r="L136" s="39"/>
      <c r="M136" s="71"/>
      <c r="N136" s="39"/>
      <c r="O136" s="70">
        <f t="shared" si="4"/>
        <v>0</v>
      </c>
    </row>
    <row r="137" spans="1:15" x14ac:dyDescent="0.3">
      <c r="B137" s="117"/>
      <c r="C137" s="117"/>
      <c r="D137" s="117"/>
      <c r="E137" s="68"/>
      <c r="F137" s="39"/>
      <c r="G137" s="71"/>
      <c r="H137" s="39"/>
      <c r="I137" s="39"/>
      <c r="J137" s="39"/>
      <c r="K137" s="39"/>
      <c r="L137" s="39"/>
      <c r="M137" s="71"/>
      <c r="N137" s="39"/>
      <c r="O137" s="70">
        <f t="shared" si="4"/>
        <v>0</v>
      </c>
    </row>
    <row r="138" spans="1:15" x14ac:dyDescent="0.3">
      <c r="B138" s="117"/>
      <c r="C138" s="117"/>
      <c r="D138" s="117"/>
      <c r="E138" s="68"/>
      <c r="F138" s="39"/>
      <c r="G138" s="71"/>
      <c r="H138" s="39"/>
      <c r="I138" s="39"/>
      <c r="J138" s="39"/>
      <c r="K138" s="39"/>
      <c r="L138" s="39"/>
      <c r="M138" s="71"/>
      <c r="N138" s="39"/>
      <c r="O138" s="70">
        <f t="shared" si="4"/>
        <v>0</v>
      </c>
    </row>
    <row r="139" spans="1:15" x14ac:dyDescent="0.3">
      <c r="B139" s="117"/>
      <c r="C139" s="117"/>
      <c r="D139" s="117"/>
      <c r="E139" s="68"/>
      <c r="F139" s="39"/>
      <c r="G139" s="71"/>
      <c r="H139" s="39"/>
      <c r="I139" s="39"/>
      <c r="J139" s="39"/>
      <c r="K139" s="39"/>
      <c r="L139" s="39"/>
      <c r="M139" s="71"/>
      <c r="N139" s="39"/>
      <c r="O139" s="70">
        <f t="shared" si="4"/>
        <v>0</v>
      </c>
    </row>
    <row r="140" spans="1:15" ht="14.1" customHeight="1" x14ac:dyDescent="0.3">
      <c r="B140" s="145" t="s">
        <v>29</v>
      </c>
      <c r="C140" s="145"/>
      <c r="D140" s="145"/>
      <c r="E140" s="145"/>
      <c r="F140" s="145"/>
      <c r="G140" s="145"/>
      <c r="H140" s="145"/>
      <c r="I140" s="54">
        <f>SUM(I120:I139)</f>
        <v>0</v>
      </c>
      <c r="J140" s="54">
        <f>SUM(J120:J139)</f>
        <v>0</v>
      </c>
      <c r="K140" s="54">
        <f>SUM(K120:K139)</f>
        <v>0</v>
      </c>
      <c r="L140" s="54">
        <f>SUM(L120:L139)</f>
        <v>0</v>
      </c>
      <c r="M140" s="56"/>
      <c r="N140" s="54">
        <f>SUM(N120:N139)</f>
        <v>0</v>
      </c>
      <c r="O140" s="54">
        <f>SUM(O120:O139)</f>
        <v>0</v>
      </c>
    </row>
    <row r="142" spans="1:15" x14ac:dyDescent="0.3">
      <c r="A142" s="34" t="s">
        <v>158</v>
      </c>
      <c r="B142" s="143" t="s">
        <v>159</v>
      </c>
      <c r="C142" s="143"/>
      <c r="D142" s="143"/>
      <c r="E142" s="143"/>
      <c r="F142" s="143"/>
      <c r="G142" s="11"/>
      <c r="H142" s="11"/>
      <c r="I142" s="11"/>
      <c r="J142" s="11"/>
      <c r="K142" s="11"/>
      <c r="L142" s="11"/>
      <c r="M142" s="11"/>
      <c r="N142" s="11"/>
      <c r="O142" s="11"/>
    </row>
    <row r="144" spans="1:15" ht="14.1" customHeight="1" x14ac:dyDescent="0.3">
      <c r="B144" s="15"/>
      <c r="C144" s="15"/>
      <c r="D144" s="15"/>
      <c r="E144" s="116" t="s">
        <v>140</v>
      </c>
      <c r="F144" s="116" t="s">
        <v>149</v>
      </c>
      <c r="G144" s="116"/>
      <c r="H144" s="116"/>
      <c r="I144" s="116" t="s">
        <v>150</v>
      </c>
      <c r="J144" s="116"/>
      <c r="K144" s="116"/>
      <c r="L144" s="116"/>
      <c r="M144" s="116" t="s">
        <v>145</v>
      </c>
      <c r="N144" s="116"/>
      <c r="O144" s="116"/>
    </row>
    <row r="145" spans="2:15" ht="14.1" customHeight="1" x14ac:dyDescent="0.3">
      <c r="B145" s="116" t="s">
        <v>5</v>
      </c>
      <c r="C145" s="116"/>
      <c r="D145" s="116"/>
      <c r="E145" s="116"/>
      <c r="F145" s="9" t="s">
        <v>7</v>
      </c>
      <c r="G145" s="4" t="s">
        <v>8</v>
      </c>
      <c r="H145" s="9" t="s">
        <v>6</v>
      </c>
      <c r="I145" s="9" t="s">
        <v>116</v>
      </c>
      <c r="J145" s="23" t="s">
        <v>142</v>
      </c>
      <c r="K145" s="23" t="s">
        <v>143</v>
      </c>
      <c r="L145" s="9" t="s">
        <v>144</v>
      </c>
      <c r="M145" s="4" t="s">
        <v>7</v>
      </c>
      <c r="N145" s="9" t="s">
        <v>6</v>
      </c>
      <c r="O145" s="9" t="s">
        <v>151</v>
      </c>
    </row>
    <row r="146" spans="2:15" x14ac:dyDescent="0.3">
      <c r="B146" s="116"/>
      <c r="C146" s="116"/>
      <c r="D146" s="116"/>
      <c r="E146" s="116"/>
      <c r="F146" s="17" t="s">
        <v>13</v>
      </c>
      <c r="G146" s="69" t="s">
        <v>13</v>
      </c>
      <c r="H146" s="17" t="s">
        <v>13</v>
      </c>
      <c r="I146" s="17" t="s">
        <v>15</v>
      </c>
      <c r="J146" s="17" t="s">
        <v>15</v>
      </c>
      <c r="K146" s="17" t="s">
        <v>146</v>
      </c>
      <c r="L146" s="17" t="s">
        <v>146</v>
      </c>
      <c r="M146" s="69" t="s">
        <v>13</v>
      </c>
      <c r="N146" s="17" t="s">
        <v>13</v>
      </c>
      <c r="O146" s="17" t="s">
        <v>14</v>
      </c>
    </row>
    <row r="147" spans="2:15" x14ac:dyDescent="0.3">
      <c r="B147" s="117"/>
      <c r="C147" s="117"/>
      <c r="D147" s="117"/>
      <c r="E147" s="9"/>
      <c r="F147" s="17"/>
      <c r="G147" s="69"/>
      <c r="H147" s="17"/>
      <c r="I147" s="17"/>
      <c r="J147" s="17"/>
      <c r="K147" s="17"/>
      <c r="L147" s="17"/>
      <c r="M147" s="69"/>
      <c r="N147" s="17"/>
      <c r="O147" s="70">
        <f t="shared" ref="O147:O166" si="5">M147*N147</f>
        <v>0</v>
      </c>
    </row>
    <row r="148" spans="2:15" x14ac:dyDescent="0.3">
      <c r="B148" s="117"/>
      <c r="C148" s="117"/>
      <c r="D148" s="117"/>
      <c r="E148" s="9"/>
      <c r="F148" s="17"/>
      <c r="G148" s="69"/>
      <c r="H148" s="17"/>
      <c r="I148" s="17"/>
      <c r="J148" s="17"/>
      <c r="K148" s="17"/>
      <c r="L148" s="17"/>
      <c r="M148" s="69"/>
      <c r="N148" s="17"/>
      <c r="O148" s="70">
        <f t="shared" si="5"/>
        <v>0</v>
      </c>
    </row>
    <row r="149" spans="2:15" x14ac:dyDescent="0.3">
      <c r="B149" s="117"/>
      <c r="C149" s="117"/>
      <c r="D149" s="117"/>
      <c r="E149" s="9"/>
      <c r="F149" s="17"/>
      <c r="G149" s="69"/>
      <c r="H149" s="17"/>
      <c r="I149" s="17"/>
      <c r="J149" s="17"/>
      <c r="K149" s="17"/>
      <c r="L149" s="17"/>
      <c r="M149" s="69"/>
      <c r="N149" s="17"/>
      <c r="O149" s="70">
        <f t="shared" si="5"/>
        <v>0</v>
      </c>
    </row>
    <row r="150" spans="2:15" x14ac:dyDescent="0.3">
      <c r="B150" s="117"/>
      <c r="C150" s="117"/>
      <c r="D150" s="117"/>
      <c r="E150" s="9"/>
      <c r="F150" s="17"/>
      <c r="G150" s="69"/>
      <c r="H150" s="17"/>
      <c r="I150" s="17"/>
      <c r="J150" s="17"/>
      <c r="K150" s="17"/>
      <c r="L150" s="17"/>
      <c r="M150" s="69"/>
      <c r="N150" s="17"/>
      <c r="O150" s="70">
        <f t="shared" si="5"/>
        <v>0</v>
      </c>
    </row>
    <row r="151" spans="2:15" x14ac:dyDescent="0.3">
      <c r="B151" s="117"/>
      <c r="C151" s="117"/>
      <c r="D151" s="117"/>
      <c r="E151" s="9"/>
      <c r="F151" s="17"/>
      <c r="G151" s="69"/>
      <c r="H151" s="17"/>
      <c r="I151" s="17"/>
      <c r="J151" s="17"/>
      <c r="K151" s="17"/>
      <c r="L151" s="17"/>
      <c r="M151" s="69"/>
      <c r="N151" s="17"/>
      <c r="O151" s="70">
        <f t="shared" si="5"/>
        <v>0</v>
      </c>
    </row>
    <row r="152" spans="2:15" x14ac:dyDescent="0.3">
      <c r="B152" s="117"/>
      <c r="C152" s="117"/>
      <c r="D152" s="117"/>
      <c r="E152" s="9"/>
      <c r="F152" s="17"/>
      <c r="G152" s="69"/>
      <c r="H152" s="17"/>
      <c r="I152" s="17"/>
      <c r="J152" s="17"/>
      <c r="K152" s="17"/>
      <c r="L152" s="17"/>
      <c r="M152" s="69"/>
      <c r="N152" s="17"/>
      <c r="O152" s="70">
        <f t="shared" si="5"/>
        <v>0</v>
      </c>
    </row>
    <row r="153" spans="2:15" x14ac:dyDescent="0.3">
      <c r="B153" s="117"/>
      <c r="C153" s="117"/>
      <c r="D153" s="117"/>
      <c r="E153" s="9"/>
      <c r="F153" s="17"/>
      <c r="G153" s="69"/>
      <c r="H153" s="17"/>
      <c r="I153" s="17"/>
      <c r="J153" s="17"/>
      <c r="K153" s="17"/>
      <c r="L153" s="17"/>
      <c r="M153" s="69"/>
      <c r="N153" s="17"/>
      <c r="O153" s="70">
        <f t="shared" si="5"/>
        <v>0</v>
      </c>
    </row>
    <row r="154" spans="2:15" x14ac:dyDescent="0.3">
      <c r="B154" s="117"/>
      <c r="C154" s="117"/>
      <c r="D154" s="117"/>
      <c r="E154" s="9"/>
      <c r="F154" s="17"/>
      <c r="G154" s="69"/>
      <c r="H154" s="17"/>
      <c r="I154" s="17"/>
      <c r="J154" s="17"/>
      <c r="K154" s="17"/>
      <c r="L154" s="17"/>
      <c r="M154" s="69"/>
      <c r="N154" s="17"/>
      <c r="O154" s="70">
        <f t="shared" si="5"/>
        <v>0</v>
      </c>
    </row>
    <row r="155" spans="2:15" x14ac:dyDescent="0.3">
      <c r="B155" s="117"/>
      <c r="C155" s="117"/>
      <c r="D155" s="117"/>
      <c r="E155" s="68"/>
      <c r="F155" s="39"/>
      <c r="G155" s="71"/>
      <c r="H155" s="39"/>
      <c r="I155" s="39"/>
      <c r="J155" s="39"/>
      <c r="K155" s="39"/>
      <c r="L155" s="39"/>
      <c r="M155" s="71"/>
      <c r="N155" s="39"/>
      <c r="O155" s="70">
        <f t="shared" si="5"/>
        <v>0</v>
      </c>
    </row>
    <row r="156" spans="2:15" x14ac:dyDescent="0.3">
      <c r="B156" s="117"/>
      <c r="C156" s="117"/>
      <c r="D156" s="117"/>
      <c r="E156" s="68"/>
      <c r="F156" s="39"/>
      <c r="G156" s="71"/>
      <c r="H156" s="39"/>
      <c r="I156" s="39"/>
      <c r="J156" s="39"/>
      <c r="K156" s="39"/>
      <c r="L156" s="39"/>
      <c r="M156" s="71"/>
      <c r="N156" s="39"/>
      <c r="O156" s="70">
        <f t="shared" si="5"/>
        <v>0</v>
      </c>
    </row>
    <row r="157" spans="2:15" x14ac:dyDescent="0.3">
      <c r="B157" s="117"/>
      <c r="C157" s="117"/>
      <c r="D157" s="117"/>
      <c r="E157" s="68"/>
      <c r="F157" s="39"/>
      <c r="G157" s="71"/>
      <c r="H157" s="39"/>
      <c r="I157" s="39"/>
      <c r="J157" s="39"/>
      <c r="K157" s="39"/>
      <c r="L157" s="39"/>
      <c r="M157" s="71"/>
      <c r="N157" s="39"/>
      <c r="O157" s="70">
        <f t="shared" si="5"/>
        <v>0</v>
      </c>
    </row>
    <row r="158" spans="2:15" x14ac:dyDescent="0.3">
      <c r="B158" s="117"/>
      <c r="C158" s="117"/>
      <c r="D158" s="117"/>
      <c r="E158" s="68"/>
      <c r="F158" s="39"/>
      <c r="G158" s="71"/>
      <c r="H158" s="39"/>
      <c r="I158" s="39"/>
      <c r="J158" s="39"/>
      <c r="K158" s="39"/>
      <c r="L158" s="39"/>
      <c r="M158" s="71"/>
      <c r="N158" s="39"/>
      <c r="O158" s="70">
        <f t="shared" si="5"/>
        <v>0</v>
      </c>
    </row>
    <row r="159" spans="2:15" x14ac:dyDescent="0.3">
      <c r="B159" s="117"/>
      <c r="C159" s="117"/>
      <c r="D159" s="117"/>
      <c r="E159" s="68"/>
      <c r="F159" s="39"/>
      <c r="G159" s="71"/>
      <c r="H159" s="39"/>
      <c r="I159" s="39"/>
      <c r="J159" s="39"/>
      <c r="K159" s="39"/>
      <c r="L159" s="39"/>
      <c r="M159" s="71"/>
      <c r="N159" s="39"/>
      <c r="O159" s="70">
        <f t="shared" si="5"/>
        <v>0</v>
      </c>
    </row>
    <row r="160" spans="2:15" x14ac:dyDescent="0.3">
      <c r="B160" s="117"/>
      <c r="C160" s="117"/>
      <c r="D160" s="117"/>
      <c r="E160" s="68"/>
      <c r="F160" s="39"/>
      <c r="G160" s="71"/>
      <c r="H160" s="39"/>
      <c r="I160" s="39"/>
      <c r="J160" s="39"/>
      <c r="K160" s="39"/>
      <c r="L160" s="39"/>
      <c r="M160" s="71"/>
      <c r="N160" s="39"/>
      <c r="O160" s="70">
        <f t="shared" si="5"/>
        <v>0</v>
      </c>
    </row>
    <row r="161" spans="1:15" x14ac:dyDescent="0.3">
      <c r="B161" s="117"/>
      <c r="C161" s="117"/>
      <c r="D161" s="117"/>
      <c r="E161" s="68"/>
      <c r="F161" s="39"/>
      <c r="G161" s="71"/>
      <c r="H161" s="39"/>
      <c r="I161" s="39"/>
      <c r="J161" s="39"/>
      <c r="K161" s="39"/>
      <c r="L161" s="39"/>
      <c r="M161" s="71"/>
      <c r="N161" s="39"/>
      <c r="O161" s="70">
        <f t="shared" si="5"/>
        <v>0</v>
      </c>
    </row>
    <row r="162" spans="1:15" x14ac:dyDescent="0.3">
      <c r="B162" s="117"/>
      <c r="C162" s="117"/>
      <c r="D162" s="117"/>
      <c r="E162" s="68"/>
      <c r="F162" s="39"/>
      <c r="G162" s="71"/>
      <c r="H162" s="39"/>
      <c r="I162" s="39"/>
      <c r="J162" s="39"/>
      <c r="K162" s="39"/>
      <c r="L162" s="39"/>
      <c r="M162" s="71"/>
      <c r="N162" s="39"/>
      <c r="O162" s="70">
        <f t="shared" si="5"/>
        <v>0</v>
      </c>
    </row>
    <row r="163" spans="1:15" x14ac:dyDescent="0.3">
      <c r="B163" s="117"/>
      <c r="C163" s="117"/>
      <c r="D163" s="117"/>
      <c r="E163" s="68"/>
      <c r="F163" s="39"/>
      <c r="G163" s="71"/>
      <c r="H163" s="39"/>
      <c r="I163" s="39"/>
      <c r="J163" s="39"/>
      <c r="K163" s="39"/>
      <c r="L163" s="39"/>
      <c r="M163" s="71"/>
      <c r="N163" s="39"/>
      <c r="O163" s="70">
        <f t="shared" si="5"/>
        <v>0</v>
      </c>
    </row>
    <row r="164" spans="1:15" x14ac:dyDescent="0.3">
      <c r="B164" s="117"/>
      <c r="C164" s="117"/>
      <c r="D164" s="117"/>
      <c r="E164" s="68"/>
      <c r="F164" s="39"/>
      <c r="G164" s="71"/>
      <c r="H164" s="39"/>
      <c r="I164" s="39"/>
      <c r="J164" s="39"/>
      <c r="K164" s="39"/>
      <c r="L164" s="39"/>
      <c r="M164" s="71"/>
      <c r="N164" s="39"/>
      <c r="O164" s="70">
        <f t="shared" si="5"/>
        <v>0</v>
      </c>
    </row>
    <row r="165" spans="1:15" x14ac:dyDescent="0.3">
      <c r="B165" s="117"/>
      <c r="C165" s="117"/>
      <c r="D165" s="117"/>
      <c r="E165" s="68"/>
      <c r="F165" s="39"/>
      <c r="G165" s="71"/>
      <c r="H165" s="39"/>
      <c r="I165" s="39"/>
      <c r="J165" s="39"/>
      <c r="K165" s="39"/>
      <c r="L165" s="39"/>
      <c r="M165" s="71"/>
      <c r="N165" s="39"/>
      <c r="O165" s="70">
        <f t="shared" si="5"/>
        <v>0</v>
      </c>
    </row>
    <row r="166" spans="1:15" x14ac:dyDescent="0.3">
      <c r="B166" s="117"/>
      <c r="C166" s="117"/>
      <c r="D166" s="117"/>
      <c r="E166" s="68"/>
      <c r="F166" s="39"/>
      <c r="G166" s="71"/>
      <c r="H166" s="39"/>
      <c r="I166" s="39"/>
      <c r="J166" s="39"/>
      <c r="K166" s="39"/>
      <c r="L166" s="39"/>
      <c r="M166" s="71"/>
      <c r="N166" s="39"/>
      <c r="O166" s="70">
        <f t="shared" si="5"/>
        <v>0</v>
      </c>
    </row>
    <row r="167" spans="1:15" ht="14.1" customHeight="1" x14ac:dyDescent="0.3">
      <c r="B167" s="145" t="s">
        <v>29</v>
      </c>
      <c r="C167" s="145"/>
      <c r="D167" s="145"/>
      <c r="E167" s="145"/>
      <c r="F167" s="145"/>
      <c r="G167" s="145"/>
      <c r="H167" s="145"/>
      <c r="I167" s="54">
        <f>SUM(I147:I166)</f>
        <v>0</v>
      </c>
      <c r="J167" s="54">
        <f>SUM(J147:J166)</f>
        <v>0</v>
      </c>
      <c r="K167" s="54">
        <f>SUM(K147:K166)</f>
        <v>0</v>
      </c>
      <c r="L167" s="54">
        <f>SUM(L147:L166)</f>
        <v>0</v>
      </c>
      <c r="M167" s="56"/>
      <c r="N167" s="54">
        <f>SUM(N147:N166)</f>
        <v>0</v>
      </c>
      <c r="O167" s="54">
        <f>SUM(O147:O166)</f>
        <v>0</v>
      </c>
    </row>
    <row r="169" spans="1:15" x14ac:dyDescent="0.3">
      <c r="A169" s="34" t="s">
        <v>160</v>
      </c>
      <c r="B169" s="143" t="s">
        <v>161</v>
      </c>
      <c r="C169" s="143"/>
      <c r="D169" s="143"/>
      <c r="E169" s="143"/>
      <c r="F169" s="143"/>
    </row>
    <row r="171" spans="1:15" x14ac:dyDescent="0.3">
      <c r="A171" s="34" t="s">
        <v>162</v>
      </c>
      <c r="B171" s="44" t="s">
        <v>163</v>
      </c>
      <c r="C171" s="44"/>
      <c r="D171" s="44"/>
    </row>
    <row r="173" spans="1:15" ht="14.1" customHeight="1" x14ac:dyDescent="0.3">
      <c r="B173" s="15"/>
      <c r="C173" s="15"/>
      <c r="D173" s="15"/>
      <c r="E173" s="116" t="s">
        <v>140</v>
      </c>
      <c r="F173" s="116" t="s">
        <v>7</v>
      </c>
      <c r="G173" s="116" t="s">
        <v>8</v>
      </c>
      <c r="H173" s="116" t="s">
        <v>6</v>
      </c>
      <c r="I173" s="124" t="s">
        <v>142</v>
      </c>
      <c r="J173" s="124" t="s">
        <v>143</v>
      </c>
      <c r="K173" s="116" t="s">
        <v>144</v>
      </c>
      <c r="L173" s="116" t="s">
        <v>145</v>
      </c>
      <c r="M173" s="116"/>
      <c r="N173" s="116"/>
      <c r="O173" s="116"/>
    </row>
    <row r="174" spans="1:15" ht="17.850000000000001" customHeight="1" x14ac:dyDescent="0.3">
      <c r="B174" s="116" t="s">
        <v>5</v>
      </c>
      <c r="C174" s="116"/>
      <c r="D174" s="116"/>
      <c r="E174" s="116"/>
      <c r="F174" s="116"/>
      <c r="G174" s="116"/>
      <c r="H174" s="116"/>
      <c r="I174" s="124"/>
      <c r="J174" s="124"/>
      <c r="K174" s="116"/>
      <c r="L174" s="9" t="s">
        <v>6</v>
      </c>
      <c r="M174" s="9" t="s">
        <v>7</v>
      </c>
      <c r="N174" s="9" t="s">
        <v>10</v>
      </c>
      <c r="O174" s="23" t="s">
        <v>164</v>
      </c>
    </row>
    <row r="175" spans="1:15" x14ac:dyDescent="0.3">
      <c r="B175" s="116"/>
      <c r="C175" s="116"/>
      <c r="D175" s="116"/>
      <c r="E175" s="116"/>
      <c r="F175" s="65" t="s">
        <v>13</v>
      </c>
      <c r="G175" s="65" t="s">
        <v>13</v>
      </c>
      <c r="H175" s="65" t="s">
        <v>13</v>
      </c>
      <c r="I175" s="65" t="s">
        <v>15</v>
      </c>
      <c r="J175" s="65" t="s">
        <v>146</v>
      </c>
      <c r="K175" s="65" t="s">
        <v>146</v>
      </c>
      <c r="L175" s="17" t="s">
        <v>13</v>
      </c>
      <c r="M175" s="17" t="s">
        <v>13</v>
      </c>
      <c r="N175" s="17" t="s">
        <v>14</v>
      </c>
      <c r="O175" s="17" t="s">
        <v>13</v>
      </c>
    </row>
    <row r="176" spans="1:15" x14ac:dyDescent="0.3">
      <c r="B176" s="149"/>
      <c r="C176" s="149"/>
      <c r="D176" s="149"/>
      <c r="E176" s="9"/>
      <c r="F176" s="72"/>
      <c r="G176" s="72"/>
      <c r="H176" s="72"/>
      <c r="I176" s="72"/>
      <c r="J176" s="72"/>
      <c r="K176" s="72"/>
      <c r="L176" s="17"/>
      <c r="M176" s="17"/>
      <c r="N176" s="70">
        <f t="shared" ref="N176:N195" si="6">L176*M176</f>
        <v>0</v>
      </c>
      <c r="O176" s="9"/>
    </row>
    <row r="177" spans="2:15" x14ac:dyDescent="0.3">
      <c r="B177" s="149"/>
      <c r="C177" s="149"/>
      <c r="D177" s="149"/>
      <c r="E177" s="9"/>
      <c r="F177" s="72"/>
      <c r="G177" s="72"/>
      <c r="H177" s="72"/>
      <c r="I177" s="72"/>
      <c r="J177" s="72"/>
      <c r="K177" s="72"/>
      <c r="L177" s="17"/>
      <c r="M177" s="17"/>
      <c r="N177" s="70">
        <f t="shared" si="6"/>
        <v>0</v>
      </c>
      <c r="O177" s="9"/>
    </row>
    <row r="178" spans="2:15" x14ac:dyDescent="0.3">
      <c r="B178" s="149"/>
      <c r="C178" s="149"/>
      <c r="D178" s="149"/>
      <c r="E178" s="9"/>
      <c r="F178" s="72"/>
      <c r="G178" s="72"/>
      <c r="H178" s="72"/>
      <c r="I178" s="72"/>
      <c r="J178" s="72"/>
      <c r="K178" s="72"/>
      <c r="L178" s="17"/>
      <c r="M178" s="17"/>
      <c r="N178" s="70">
        <f t="shared" si="6"/>
        <v>0</v>
      </c>
      <c r="O178" s="9"/>
    </row>
    <row r="179" spans="2:15" x14ac:dyDescent="0.3">
      <c r="B179" s="149"/>
      <c r="C179" s="149"/>
      <c r="D179" s="149"/>
      <c r="E179" s="9"/>
      <c r="F179" s="72"/>
      <c r="G179" s="72"/>
      <c r="H179" s="72"/>
      <c r="I179" s="72"/>
      <c r="J179" s="72"/>
      <c r="K179" s="72"/>
      <c r="L179" s="17"/>
      <c r="M179" s="17"/>
      <c r="N179" s="70">
        <f t="shared" si="6"/>
        <v>0</v>
      </c>
      <c r="O179" s="9"/>
    </row>
    <row r="180" spans="2:15" x14ac:dyDescent="0.3">
      <c r="B180" s="149"/>
      <c r="C180" s="149"/>
      <c r="D180" s="149"/>
      <c r="E180" s="9"/>
      <c r="F180" s="72"/>
      <c r="G180" s="72"/>
      <c r="H180" s="72"/>
      <c r="I180" s="72"/>
      <c r="J180" s="72"/>
      <c r="K180" s="72"/>
      <c r="L180" s="17"/>
      <c r="M180" s="17"/>
      <c r="N180" s="70">
        <f t="shared" si="6"/>
        <v>0</v>
      </c>
      <c r="O180" s="9"/>
    </row>
    <row r="181" spans="2:15" x14ac:dyDescent="0.3">
      <c r="B181" s="149"/>
      <c r="C181" s="149"/>
      <c r="D181" s="149"/>
      <c r="E181" s="9"/>
      <c r="F181" s="72"/>
      <c r="G181" s="72"/>
      <c r="H181" s="72"/>
      <c r="I181" s="72"/>
      <c r="J181" s="72"/>
      <c r="K181" s="72"/>
      <c r="L181" s="17"/>
      <c r="M181" s="17"/>
      <c r="N181" s="70">
        <f t="shared" si="6"/>
        <v>0</v>
      </c>
      <c r="O181" s="9"/>
    </row>
    <row r="182" spans="2:15" x14ac:dyDescent="0.3">
      <c r="B182" s="149"/>
      <c r="C182" s="149"/>
      <c r="D182" s="149"/>
      <c r="E182" s="9"/>
      <c r="F182" s="72"/>
      <c r="G182" s="72"/>
      <c r="H182" s="72"/>
      <c r="I182" s="72"/>
      <c r="J182" s="72"/>
      <c r="K182" s="72"/>
      <c r="L182" s="17"/>
      <c r="M182" s="17"/>
      <c r="N182" s="70">
        <f t="shared" si="6"/>
        <v>0</v>
      </c>
      <c r="O182" s="9"/>
    </row>
    <row r="183" spans="2:15" x14ac:dyDescent="0.3">
      <c r="B183" s="149"/>
      <c r="C183" s="149"/>
      <c r="D183" s="149"/>
      <c r="E183" s="9"/>
      <c r="F183" s="72"/>
      <c r="G183" s="72"/>
      <c r="H183" s="72"/>
      <c r="I183" s="72"/>
      <c r="J183" s="72"/>
      <c r="K183" s="72"/>
      <c r="L183" s="17"/>
      <c r="M183" s="17"/>
      <c r="N183" s="70">
        <f t="shared" si="6"/>
        <v>0</v>
      </c>
      <c r="O183" s="9"/>
    </row>
    <row r="184" spans="2:15" x14ac:dyDescent="0.3">
      <c r="B184" s="149"/>
      <c r="C184" s="149"/>
      <c r="D184" s="149"/>
      <c r="E184" s="9"/>
      <c r="F184" s="72"/>
      <c r="G184" s="72"/>
      <c r="H184" s="72"/>
      <c r="I184" s="72"/>
      <c r="J184" s="72"/>
      <c r="K184" s="72"/>
      <c r="L184" s="17"/>
      <c r="M184" s="17"/>
      <c r="N184" s="70">
        <f t="shared" si="6"/>
        <v>0</v>
      </c>
      <c r="O184" s="9"/>
    </row>
    <row r="185" spans="2:15" x14ac:dyDescent="0.3">
      <c r="B185" s="149"/>
      <c r="C185" s="149"/>
      <c r="D185" s="149"/>
      <c r="E185" s="9"/>
      <c r="F185" s="72"/>
      <c r="G185" s="72"/>
      <c r="H185" s="72"/>
      <c r="I185" s="72"/>
      <c r="J185" s="72"/>
      <c r="K185" s="72"/>
      <c r="L185" s="17"/>
      <c r="M185" s="17"/>
      <c r="N185" s="70">
        <f t="shared" si="6"/>
        <v>0</v>
      </c>
      <c r="O185" s="9"/>
    </row>
    <row r="186" spans="2:15" x14ac:dyDescent="0.3">
      <c r="B186" s="149"/>
      <c r="C186" s="149"/>
      <c r="D186" s="149"/>
      <c r="E186" s="9"/>
      <c r="F186" s="72"/>
      <c r="G186" s="72"/>
      <c r="H186" s="72"/>
      <c r="I186" s="72"/>
      <c r="J186" s="72"/>
      <c r="K186" s="72"/>
      <c r="L186" s="17"/>
      <c r="M186" s="17"/>
      <c r="N186" s="70">
        <f t="shared" si="6"/>
        <v>0</v>
      </c>
      <c r="O186" s="9"/>
    </row>
    <row r="187" spans="2:15" x14ac:dyDescent="0.3">
      <c r="B187" s="149"/>
      <c r="C187" s="149"/>
      <c r="D187" s="149"/>
      <c r="E187" s="9"/>
      <c r="F187" s="72"/>
      <c r="G187" s="72"/>
      <c r="H187" s="72"/>
      <c r="I187" s="72"/>
      <c r="J187" s="72"/>
      <c r="K187" s="72"/>
      <c r="L187" s="17"/>
      <c r="M187" s="17"/>
      <c r="N187" s="70">
        <f t="shared" si="6"/>
        <v>0</v>
      </c>
      <c r="O187" s="9"/>
    </row>
    <row r="188" spans="2:15" x14ac:dyDescent="0.3">
      <c r="B188" s="149"/>
      <c r="C188" s="149"/>
      <c r="D188" s="149"/>
      <c r="E188" s="9"/>
      <c r="F188" s="72"/>
      <c r="G188" s="72"/>
      <c r="H188" s="72"/>
      <c r="I188" s="72"/>
      <c r="J188" s="72"/>
      <c r="K188" s="72"/>
      <c r="L188" s="17"/>
      <c r="M188" s="17"/>
      <c r="N188" s="70">
        <f t="shared" si="6"/>
        <v>0</v>
      </c>
      <c r="O188" s="9"/>
    </row>
    <row r="189" spans="2:15" x14ac:dyDescent="0.3">
      <c r="B189" s="149"/>
      <c r="C189" s="149"/>
      <c r="D189" s="149"/>
      <c r="E189" s="9"/>
      <c r="F189" s="72"/>
      <c r="G189" s="72"/>
      <c r="H189" s="72"/>
      <c r="I189" s="72"/>
      <c r="J189" s="72"/>
      <c r="K189" s="72"/>
      <c r="L189" s="17"/>
      <c r="M189" s="17"/>
      <c r="N189" s="70">
        <f t="shared" si="6"/>
        <v>0</v>
      </c>
      <c r="O189" s="9"/>
    </row>
    <row r="190" spans="2:15" x14ac:dyDescent="0.3">
      <c r="B190" s="149"/>
      <c r="C190" s="149"/>
      <c r="D190" s="149"/>
      <c r="E190" s="9"/>
      <c r="F190" s="72"/>
      <c r="G190" s="72"/>
      <c r="H190" s="72"/>
      <c r="I190" s="72"/>
      <c r="J190" s="72"/>
      <c r="K190" s="72"/>
      <c r="L190" s="17"/>
      <c r="M190" s="17"/>
      <c r="N190" s="70">
        <f t="shared" si="6"/>
        <v>0</v>
      </c>
      <c r="O190" s="9"/>
    </row>
    <row r="191" spans="2:15" x14ac:dyDescent="0.3">
      <c r="B191" s="149"/>
      <c r="C191" s="149"/>
      <c r="D191" s="149"/>
      <c r="E191" s="68"/>
      <c r="F191" s="39"/>
      <c r="G191" s="39"/>
      <c r="H191" s="39"/>
      <c r="I191" s="39"/>
      <c r="J191" s="39"/>
      <c r="K191" s="39"/>
      <c r="L191" s="39"/>
      <c r="M191" s="39"/>
      <c r="N191" s="70">
        <f t="shared" si="6"/>
        <v>0</v>
      </c>
      <c r="O191" s="39"/>
    </row>
    <row r="192" spans="2:15" x14ac:dyDescent="0.3">
      <c r="B192" s="149"/>
      <c r="C192" s="149"/>
      <c r="D192" s="149"/>
      <c r="E192" s="68"/>
      <c r="F192" s="39"/>
      <c r="G192" s="39"/>
      <c r="H192" s="39"/>
      <c r="I192" s="39"/>
      <c r="J192" s="39"/>
      <c r="K192" s="39"/>
      <c r="L192" s="39"/>
      <c r="M192" s="39"/>
      <c r="N192" s="70">
        <f t="shared" si="6"/>
        <v>0</v>
      </c>
      <c r="O192" s="39"/>
    </row>
    <row r="193" spans="1:15" x14ac:dyDescent="0.3">
      <c r="B193" s="149"/>
      <c r="C193" s="149"/>
      <c r="D193" s="149"/>
      <c r="E193" s="68"/>
      <c r="F193" s="39"/>
      <c r="G193" s="39"/>
      <c r="H193" s="39"/>
      <c r="I193" s="39"/>
      <c r="J193" s="39"/>
      <c r="K193" s="39"/>
      <c r="L193" s="39"/>
      <c r="M193" s="39"/>
      <c r="N193" s="70">
        <f t="shared" si="6"/>
        <v>0</v>
      </c>
      <c r="O193" s="39"/>
    </row>
    <row r="194" spans="1:15" x14ac:dyDescent="0.3">
      <c r="B194" s="149"/>
      <c r="C194" s="149"/>
      <c r="D194" s="149"/>
      <c r="E194" s="68"/>
      <c r="F194" s="39"/>
      <c r="G194" s="39"/>
      <c r="H194" s="39"/>
      <c r="I194" s="39"/>
      <c r="J194" s="39"/>
      <c r="K194" s="39"/>
      <c r="L194" s="39"/>
      <c r="M194" s="39"/>
      <c r="N194" s="70">
        <f t="shared" si="6"/>
        <v>0</v>
      </c>
      <c r="O194" s="39"/>
    </row>
    <row r="195" spans="1:15" x14ac:dyDescent="0.3">
      <c r="B195" s="149"/>
      <c r="C195" s="149"/>
      <c r="D195" s="149"/>
      <c r="E195" s="68"/>
      <c r="F195" s="39"/>
      <c r="G195" s="39"/>
      <c r="H195" s="39"/>
      <c r="I195" s="39"/>
      <c r="J195" s="39"/>
      <c r="K195" s="39"/>
      <c r="L195" s="39"/>
      <c r="M195" s="39"/>
      <c r="N195" s="70">
        <f t="shared" si="6"/>
        <v>0</v>
      </c>
      <c r="O195" s="39"/>
    </row>
    <row r="196" spans="1:15" ht="14.1" customHeight="1" x14ac:dyDescent="0.3">
      <c r="B196" s="145" t="s">
        <v>29</v>
      </c>
      <c r="C196" s="145"/>
      <c r="D196" s="145"/>
      <c r="E196" s="145"/>
      <c r="F196" s="145"/>
      <c r="G196" s="145"/>
      <c r="H196" s="145"/>
      <c r="I196" s="54">
        <f t="shared" ref="I196:N196" si="7">SUM(I176:I195)</f>
        <v>0</v>
      </c>
      <c r="J196" s="54">
        <f t="shared" si="7"/>
        <v>0</v>
      </c>
      <c r="K196" s="54">
        <f t="shared" si="7"/>
        <v>0</v>
      </c>
      <c r="L196" s="54">
        <f t="shared" si="7"/>
        <v>0</v>
      </c>
      <c r="M196" s="54">
        <f t="shared" si="7"/>
        <v>0</v>
      </c>
      <c r="N196" s="54">
        <f t="shared" si="7"/>
        <v>0</v>
      </c>
      <c r="O196" s="31"/>
    </row>
    <row r="198" spans="1:15" x14ac:dyDescent="0.3">
      <c r="A198" s="34" t="s">
        <v>165</v>
      </c>
      <c r="B198" s="44" t="s">
        <v>166</v>
      </c>
      <c r="C198" s="44"/>
      <c r="D198" s="44"/>
    </row>
    <row r="199" spans="1:15" x14ac:dyDescent="0.3">
      <c r="B199" s="44"/>
      <c r="C199" s="44"/>
      <c r="D199" s="44"/>
    </row>
    <row r="200" spans="1:15" ht="14.1" customHeight="1" x14ac:dyDescent="0.3">
      <c r="B200" s="15"/>
      <c r="C200" s="15"/>
      <c r="D200" s="15"/>
      <c r="E200" s="116" t="s">
        <v>140</v>
      </c>
      <c r="F200" s="116" t="s">
        <v>7</v>
      </c>
      <c r="G200" s="116" t="s">
        <v>8</v>
      </c>
      <c r="H200" s="116" t="s">
        <v>6</v>
      </c>
      <c r="I200" s="124" t="s">
        <v>142</v>
      </c>
      <c r="J200" s="124" t="s">
        <v>143</v>
      </c>
      <c r="K200" s="116" t="s">
        <v>144</v>
      </c>
      <c r="L200" s="116" t="s">
        <v>145</v>
      </c>
      <c r="M200" s="116"/>
      <c r="N200" s="116"/>
      <c r="O200" s="116"/>
    </row>
    <row r="201" spans="1:15" ht="18.149999999999999" customHeight="1" x14ac:dyDescent="0.3">
      <c r="B201" s="116" t="s">
        <v>5</v>
      </c>
      <c r="C201" s="116"/>
      <c r="D201" s="116"/>
      <c r="E201" s="116"/>
      <c r="F201" s="116"/>
      <c r="G201" s="116"/>
      <c r="H201" s="116"/>
      <c r="I201" s="124"/>
      <c r="J201" s="124"/>
      <c r="K201" s="116"/>
      <c r="L201" s="9" t="s">
        <v>6</v>
      </c>
      <c r="M201" s="9" t="s">
        <v>7</v>
      </c>
      <c r="N201" s="9" t="s">
        <v>10</v>
      </c>
      <c r="O201" s="23" t="s">
        <v>164</v>
      </c>
    </row>
    <row r="202" spans="1:15" x14ac:dyDescent="0.3">
      <c r="B202" s="116"/>
      <c r="C202" s="116"/>
      <c r="D202" s="116"/>
      <c r="E202" s="116"/>
      <c r="F202" s="65" t="s">
        <v>13</v>
      </c>
      <c r="G202" s="65" t="s">
        <v>13</v>
      </c>
      <c r="H202" s="65" t="s">
        <v>13</v>
      </c>
      <c r="I202" s="65" t="s">
        <v>15</v>
      </c>
      <c r="J202" s="65" t="s">
        <v>146</v>
      </c>
      <c r="K202" s="65" t="s">
        <v>146</v>
      </c>
      <c r="L202" s="17" t="s">
        <v>13</v>
      </c>
      <c r="M202" s="17" t="s">
        <v>13</v>
      </c>
      <c r="N202" s="17" t="s">
        <v>14</v>
      </c>
      <c r="O202" s="17" t="s">
        <v>13</v>
      </c>
    </row>
    <row r="203" spans="1:15" x14ac:dyDescent="0.3">
      <c r="B203" s="149"/>
      <c r="C203" s="149"/>
      <c r="D203" s="149"/>
      <c r="E203" s="9"/>
      <c r="F203" s="72"/>
      <c r="G203" s="72"/>
      <c r="H203" s="72"/>
      <c r="I203" s="72"/>
      <c r="J203" s="72"/>
      <c r="K203" s="72"/>
      <c r="L203" s="17"/>
      <c r="M203" s="17"/>
      <c r="N203" s="70">
        <f t="shared" ref="N203:N222" si="8">L203*M203</f>
        <v>0</v>
      </c>
      <c r="O203" s="9"/>
    </row>
    <row r="204" spans="1:15" x14ac:dyDescent="0.3">
      <c r="B204" s="149"/>
      <c r="C204" s="149"/>
      <c r="D204" s="149"/>
      <c r="E204" s="9"/>
      <c r="F204" s="72"/>
      <c r="G204" s="72"/>
      <c r="H204" s="72"/>
      <c r="I204" s="72"/>
      <c r="J204" s="72"/>
      <c r="K204" s="72"/>
      <c r="L204" s="17"/>
      <c r="M204" s="17"/>
      <c r="N204" s="70">
        <f t="shared" si="8"/>
        <v>0</v>
      </c>
      <c r="O204" s="9"/>
    </row>
    <row r="205" spans="1:15" x14ac:dyDescent="0.3">
      <c r="B205" s="149"/>
      <c r="C205" s="149"/>
      <c r="D205" s="149"/>
      <c r="E205" s="9"/>
      <c r="F205" s="72"/>
      <c r="G205" s="72"/>
      <c r="H205" s="72"/>
      <c r="I205" s="72"/>
      <c r="J205" s="72"/>
      <c r="K205" s="72"/>
      <c r="L205" s="17"/>
      <c r="M205" s="17"/>
      <c r="N205" s="70">
        <f t="shared" si="8"/>
        <v>0</v>
      </c>
      <c r="O205" s="9"/>
    </row>
    <row r="206" spans="1:15" x14ac:dyDescent="0.3">
      <c r="B206" s="149"/>
      <c r="C206" s="149"/>
      <c r="D206" s="149"/>
      <c r="E206" s="9"/>
      <c r="F206" s="72"/>
      <c r="G206" s="72"/>
      <c r="H206" s="72"/>
      <c r="I206" s="72"/>
      <c r="J206" s="72"/>
      <c r="K206" s="72"/>
      <c r="L206" s="17"/>
      <c r="M206" s="17"/>
      <c r="N206" s="70">
        <f t="shared" si="8"/>
        <v>0</v>
      </c>
      <c r="O206" s="9"/>
    </row>
    <row r="207" spans="1:15" x14ac:dyDescent="0.3">
      <c r="B207" s="149"/>
      <c r="C207" s="149"/>
      <c r="D207" s="149"/>
      <c r="E207" s="9"/>
      <c r="F207" s="72"/>
      <c r="G207" s="72"/>
      <c r="H207" s="72"/>
      <c r="I207" s="72"/>
      <c r="J207" s="72"/>
      <c r="K207" s="72"/>
      <c r="L207" s="17"/>
      <c r="M207" s="17"/>
      <c r="N207" s="70">
        <f t="shared" si="8"/>
        <v>0</v>
      </c>
      <c r="O207" s="9"/>
    </row>
    <row r="208" spans="1:15" x14ac:dyDescent="0.3">
      <c r="B208" s="149"/>
      <c r="C208" s="149"/>
      <c r="D208" s="149"/>
      <c r="E208" s="9"/>
      <c r="F208" s="72"/>
      <c r="G208" s="72"/>
      <c r="H208" s="72"/>
      <c r="I208" s="72"/>
      <c r="J208" s="72"/>
      <c r="K208" s="72"/>
      <c r="L208" s="17"/>
      <c r="M208" s="17"/>
      <c r="N208" s="70">
        <f t="shared" si="8"/>
        <v>0</v>
      </c>
      <c r="O208" s="9"/>
    </row>
    <row r="209" spans="2:15" x14ac:dyDescent="0.3">
      <c r="B209" s="149"/>
      <c r="C209" s="149"/>
      <c r="D209" s="149"/>
      <c r="E209" s="9"/>
      <c r="F209" s="72"/>
      <c r="G209" s="72"/>
      <c r="H209" s="72"/>
      <c r="I209" s="72"/>
      <c r="J209" s="72"/>
      <c r="K209" s="72"/>
      <c r="L209" s="17"/>
      <c r="M209" s="17"/>
      <c r="N209" s="70">
        <f t="shared" si="8"/>
        <v>0</v>
      </c>
      <c r="O209" s="9"/>
    </row>
    <row r="210" spans="2:15" x14ac:dyDescent="0.3">
      <c r="B210" s="149"/>
      <c r="C210" s="149"/>
      <c r="D210" s="149"/>
      <c r="E210" s="9"/>
      <c r="F210" s="72"/>
      <c r="G210" s="72"/>
      <c r="H210" s="72"/>
      <c r="I210" s="72"/>
      <c r="J210" s="72"/>
      <c r="K210" s="72"/>
      <c r="L210" s="17"/>
      <c r="M210" s="17"/>
      <c r="N210" s="70">
        <f t="shared" si="8"/>
        <v>0</v>
      </c>
      <c r="O210" s="9"/>
    </row>
    <row r="211" spans="2:15" x14ac:dyDescent="0.3">
      <c r="B211" s="149"/>
      <c r="C211" s="149"/>
      <c r="D211" s="149"/>
      <c r="E211" s="9"/>
      <c r="F211" s="72"/>
      <c r="G211" s="72"/>
      <c r="H211" s="72"/>
      <c r="I211" s="72"/>
      <c r="J211" s="72"/>
      <c r="K211" s="72"/>
      <c r="L211" s="17"/>
      <c r="M211" s="17"/>
      <c r="N211" s="70">
        <f t="shared" si="8"/>
        <v>0</v>
      </c>
      <c r="O211" s="9"/>
    </row>
    <row r="212" spans="2:15" x14ac:dyDescent="0.3">
      <c r="B212" s="149"/>
      <c r="C212" s="149"/>
      <c r="D212" s="149"/>
      <c r="E212" s="9"/>
      <c r="F212" s="72"/>
      <c r="G212" s="72"/>
      <c r="H212" s="72"/>
      <c r="I212" s="72"/>
      <c r="J212" s="72"/>
      <c r="K212" s="72"/>
      <c r="L212" s="17"/>
      <c r="M212" s="17"/>
      <c r="N212" s="70">
        <f t="shared" si="8"/>
        <v>0</v>
      </c>
      <c r="O212" s="9"/>
    </row>
    <row r="213" spans="2:15" x14ac:dyDescent="0.3">
      <c r="B213" s="149"/>
      <c r="C213" s="149"/>
      <c r="D213" s="149"/>
      <c r="E213" s="9"/>
      <c r="F213" s="72"/>
      <c r="G213" s="72"/>
      <c r="H213" s="72"/>
      <c r="I213" s="72"/>
      <c r="J213" s="72"/>
      <c r="K213" s="72"/>
      <c r="L213" s="17"/>
      <c r="M213" s="17"/>
      <c r="N213" s="70">
        <f t="shared" si="8"/>
        <v>0</v>
      </c>
      <c r="O213" s="9"/>
    </row>
    <row r="214" spans="2:15" x14ac:dyDescent="0.3">
      <c r="B214" s="149"/>
      <c r="C214" s="149"/>
      <c r="D214" s="149"/>
      <c r="E214" s="9"/>
      <c r="F214" s="72"/>
      <c r="G214" s="72"/>
      <c r="H214" s="72"/>
      <c r="I214" s="72"/>
      <c r="J214" s="72"/>
      <c r="K214" s="72"/>
      <c r="L214" s="17"/>
      <c r="M214" s="17"/>
      <c r="N214" s="70">
        <f t="shared" si="8"/>
        <v>0</v>
      </c>
      <c r="O214" s="9"/>
    </row>
    <row r="215" spans="2:15" x14ac:dyDescent="0.3">
      <c r="B215" s="149"/>
      <c r="C215" s="149"/>
      <c r="D215" s="149"/>
      <c r="E215" s="9"/>
      <c r="F215" s="72"/>
      <c r="G215" s="72"/>
      <c r="H215" s="72"/>
      <c r="I215" s="72"/>
      <c r="J215" s="72"/>
      <c r="K215" s="72"/>
      <c r="L215" s="17"/>
      <c r="M215" s="17"/>
      <c r="N215" s="70">
        <f t="shared" si="8"/>
        <v>0</v>
      </c>
      <c r="O215" s="9"/>
    </row>
    <row r="216" spans="2:15" x14ac:dyDescent="0.3">
      <c r="B216" s="149"/>
      <c r="C216" s="149"/>
      <c r="D216" s="149"/>
      <c r="E216" s="9"/>
      <c r="F216" s="72"/>
      <c r="G216" s="72"/>
      <c r="H216" s="72"/>
      <c r="I216" s="72"/>
      <c r="J216" s="72"/>
      <c r="K216" s="72"/>
      <c r="L216" s="17"/>
      <c r="M216" s="17"/>
      <c r="N216" s="70">
        <f t="shared" si="8"/>
        <v>0</v>
      </c>
      <c r="O216" s="9"/>
    </row>
    <row r="217" spans="2:15" x14ac:dyDescent="0.3">
      <c r="B217" s="149"/>
      <c r="C217" s="149"/>
      <c r="D217" s="149"/>
      <c r="E217" s="9"/>
      <c r="F217" s="72"/>
      <c r="G217" s="72"/>
      <c r="H217" s="72"/>
      <c r="I217" s="72"/>
      <c r="J217" s="72"/>
      <c r="K217" s="72"/>
      <c r="L217" s="17"/>
      <c r="M217" s="17"/>
      <c r="N217" s="70">
        <f t="shared" si="8"/>
        <v>0</v>
      </c>
      <c r="O217" s="9"/>
    </row>
    <row r="218" spans="2:15" x14ac:dyDescent="0.3">
      <c r="B218" s="149"/>
      <c r="C218" s="149"/>
      <c r="D218" s="149"/>
      <c r="E218" s="68"/>
      <c r="F218" s="39"/>
      <c r="G218" s="39"/>
      <c r="H218" s="39"/>
      <c r="I218" s="39"/>
      <c r="J218" s="39"/>
      <c r="K218" s="39"/>
      <c r="L218" s="39"/>
      <c r="M218" s="39"/>
      <c r="N218" s="70">
        <f t="shared" si="8"/>
        <v>0</v>
      </c>
      <c r="O218" s="39"/>
    </row>
    <row r="219" spans="2:15" x14ac:dyDescent="0.3">
      <c r="B219" s="149"/>
      <c r="C219" s="149"/>
      <c r="D219" s="149"/>
      <c r="E219" s="68"/>
      <c r="F219" s="39"/>
      <c r="G219" s="39"/>
      <c r="H219" s="39"/>
      <c r="I219" s="39"/>
      <c r="J219" s="39"/>
      <c r="K219" s="39"/>
      <c r="L219" s="39"/>
      <c r="M219" s="39"/>
      <c r="N219" s="70">
        <f t="shared" si="8"/>
        <v>0</v>
      </c>
      <c r="O219" s="39"/>
    </row>
    <row r="220" spans="2:15" x14ac:dyDescent="0.3">
      <c r="B220" s="149"/>
      <c r="C220" s="149"/>
      <c r="D220" s="149"/>
      <c r="E220" s="68"/>
      <c r="F220" s="39"/>
      <c r="G220" s="39"/>
      <c r="H220" s="39"/>
      <c r="I220" s="39"/>
      <c r="J220" s="39"/>
      <c r="K220" s="39"/>
      <c r="L220" s="39"/>
      <c r="M220" s="39"/>
      <c r="N220" s="70">
        <f t="shared" si="8"/>
        <v>0</v>
      </c>
      <c r="O220" s="39"/>
    </row>
    <row r="221" spans="2:15" x14ac:dyDescent="0.3">
      <c r="B221" s="149"/>
      <c r="C221" s="149"/>
      <c r="D221" s="149"/>
      <c r="E221" s="68"/>
      <c r="F221" s="39"/>
      <c r="G221" s="39"/>
      <c r="H221" s="39"/>
      <c r="I221" s="39"/>
      <c r="J221" s="39"/>
      <c r="K221" s="39"/>
      <c r="L221" s="39"/>
      <c r="M221" s="39"/>
      <c r="N221" s="70">
        <f t="shared" si="8"/>
        <v>0</v>
      </c>
      <c r="O221" s="39"/>
    </row>
    <row r="222" spans="2:15" x14ac:dyDescent="0.3">
      <c r="B222" s="149"/>
      <c r="C222" s="149"/>
      <c r="D222" s="149"/>
      <c r="E222" s="68"/>
      <c r="F222" s="39"/>
      <c r="G222" s="39"/>
      <c r="H222" s="39"/>
      <c r="I222" s="39"/>
      <c r="J222" s="39"/>
      <c r="K222" s="39"/>
      <c r="L222" s="39"/>
      <c r="M222" s="39"/>
      <c r="N222" s="70">
        <f t="shared" si="8"/>
        <v>0</v>
      </c>
      <c r="O222" s="39"/>
    </row>
    <row r="223" spans="2:15" ht="14.1" customHeight="1" x14ac:dyDescent="0.3">
      <c r="B223" s="145" t="s">
        <v>29</v>
      </c>
      <c r="C223" s="145"/>
      <c r="D223" s="145"/>
      <c r="E223" s="145"/>
      <c r="F223" s="145"/>
      <c r="G223" s="145"/>
      <c r="H223" s="145"/>
      <c r="I223" s="54">
        <f t="shared" ref="I223:N223" si="9">SUM(I203:I222)</f>
        <v>0</v>
      </c>
      <c r="J223" s="54">
        <f t="shared" si="9"/>
        <v>0</v>
      </c>
      <c r="K223" s="54">
        <f t="shared" si="9"/>
        <v>0</v>
      </c>
      <c r="L223" s="54">
        <f t="shared" si="9"/>
        <v>0</v>
      </c>
      <c r="M223" s="54">
        <f t="shared" si="9"/>
        <v>0</v>
      </c>
      <c r="N223" s="54">
        <f t="shared" si="9"/>
        <v>0</v>
      </c>
      <c r="O223" s="31"/>
    </row>
    <row r="225" spans="1:15" x14ac:dyDescent="0.3">
      <c r="A225" s="34" t="s">
        <v>167</v>
      </c>
      <c r="B225" s="44" t="s">
        <v>168</v>
      </c>
      <c r="C225" s="44"/>
      <c r="D225" s="44"/>
    </row>
    <row r="226" spans="1:15" x14ac:dyDescent="0.3">
      <c r="B226" s="44"/>
      <c r="C226" s="44"/>
      <c r="D226" s="44"/>
    </row>
    <row r="227" spans="1:15" ht="14.1" customHeight="1" x14ac:dyDescent="0.3">
      <c r="B227" s="15"/>
      <c r="C227" s="15"/>
      <c r="D227" s="15"/>
      <c r="E227" s="116" t="s">
        <v>140</v>
      </c>
      <c r="F227" s="116" t="s">
        <v>7</v>
      </c>
      <c r="G227" s="116" t="s">
        <v>8</v>
      </c>
      <c r="H227" s="116" t="s">
        <v>6</v>
      </c>
      <c r="I227" s="124" t="s">
        <v>142</v>
      </c>
      <c r="J227" s="124" t="s">
        <v>143</v>
      </c>
      <c r="K227" s="116" t="s">
        <v>144</v>
      </c>
      <c r="L227" s="116" t="s">
        <v>145</v>
      </c>
      <c r="M227" s="116"/>
      <c r="N227" s="116"/>
      <c r="O227" s="116"/>
    </row>
    <row r="228" spans="1:15" ht="18.149999999999999" customHeight="1" x14ac:dyDescent="0.3">
      <c r="B228" s="116" t="s">
        <v>5</v>
      </c>
      <c r="C228" s="116"/>
      <c r="D228" s="116"/>
      <c r="E228" s="116"/>
      <c r="F228" s="116"/>
      <c r="G228" s="116"/>
      <c r="H228" s="116"/>
      <c r="I228" s="124"/>
      <c r="J228" s="124"/>
      <c r="K228" s="116"/>
      <c r="L228" s="9" t="s">
        <v>6</v>
      </c>
      <c r="M228" s="9" t="s">
        <v>7</v>
      </c>
      <c r="N228" s="9" t="s">
        <v>10</v>
      </c>
      <c r="O228" s="23" t="s">
        <v>164</v>
      </c>
    </row>
    <row r="229" spans="1:15" x14ac:dyDescent="0.3">
      <c r="B229" s="116"/>
      <c r="C229" s="116"/>
      <c r="D229" s="116"/>
      <c r="E229" s="116"/>
      <c r="F229" s="65" t="s">
        <v>13</v>
      </c>
      <c r="G229" s="65" t="s">
        <v>13</v>
      </c>
      <c r="H229" s="65" t="s">
        <v>13</v>
      </c>
      <c r="I229" s="65" t="s">
        <v>15</v>
      </c>
      <c r="J229" s="65" t="s">
        <v>146</v>
      </c>
      <c r="K229" s="65" t="s">
        <v>146</v>
      </c>
      <c r="L229" s="17" t="s">
        <v>13</v>
      </c>
      <c r="M229" s="17" t="s">
        <v>13</v>
      </c>
      <c r="N229" s="17" t="s">
        <v>14</v>
      </c>
      <c r="O229" s="17" t="s">
        <v>13</v>
      </c>
    </row>
    <row r="230" spans="1:15" x14ac:dyDescent="0.3">
      <c r="B230" s="149"/>
      <c r="C230" s="149"/>
      <c r="D230" s="149"/>
      <c r="E230" s="9"/>
      <c r="F230" s="72"/>
      <c r="G230" s="72"/>
      <c r="H230" s="72"/>
      <c r="I230" s="72"/>
      <c r="J230" s="72"/>
      <c r="K230" s="72"/>
      <c r="L230" s="17"/>
      <c r="M230" s="17"/>
      <c r="N230" s="70">
        <f t="shared" ref="N230:N249" si="10">L230*M230</f>
        <v>0</v>
      </c>
      <c r="O230" s="9"/>
    </row>
    <row r="231" spans="1:15" x14ac:dyDescent="0.3">
      <c r="B231" s="149"/>
      <c r="C231" s="149"/>
      <c r="D231" s="149"/>
      <c r="E231" s="9"/>
      <c r="F231" s="72"/>
      <c r="G231" s="72"/>
      <c r="H231" s="72"/>
      <c r="I231" s="72"/>
      <c r="J231" s="72"/>
      <c r="K231" s="72"/>
      <c r="L231" s="17"/>
      <c r="M231" s="17"/>
      <c r="N231" s="70">
        <f t="shared" si="10"/>
        <v>0</v>
      </c>
      <c r="O231" s="9"/>
    </row>
    <row r="232" spans="1:15" x14ac:dyDescent="0.3">
      <c r="B232" s="149"/>
      <c r="C232" s="149"/>
      <c r="D232" s="149"/>
      <c r="E232" s="9"/>
      <c r="F232" s="72"/>
      <c r="G232" s="72"/>
      <c r="H232" s="72"/>
      <c r="I232" s="72"/>
      <c r="J232" s="72"/>
      <c r="K232" s="72"/>
      <c r="L232" s="17"/>
      <c r="M232" s="17"/>
      <c r="N232" s="70">
        <f t="shared" si="10"/>
        <v>0</v>
      </c>
      <c r="O232" s="9"/>
    </row>
    <row r="233" spans="1:15" x14ac:dyDescent="0.3">
      <c r="B233" s="149"/>
      <c r="C233" s="149"/>
      <c r="D233" s="149"/>
      <c r="E233" s="9"/>
      <c r="F233" s="72"/>
      <c r="G233" s="72"/>
      <c r="H233" s="72"/>
      <c r="I233" s="72"/>
      <c r="J233" s="72"/>
      <c r="K233" s="72"/>
      <c r="L233" s="17"/>
      <c r="M233" s="17"/>
      <c r="N233" s="70">
        <f t="shared" si="10"/>
        <v>0</v>
      </c>
      <c r="O233" s="9"/>
    </row>
    <row r="234" spans="1:15" x14ac:dyDescent="0.3">
      <c r="B234" s="149"/>
      <c r="C234" s="149"/>
      <c r="D234" s="149"/>
      <c r="E234" s="9"/>
      <c r="F234" s="72"/>
      <c r="G234" s="72"/>
      <c r="H234" s="72"/>
      <c r="I234" s="72"/>
      <c r="J234" s="72"/>
      <c r="K234" s="72"/>
      <c r="L234" s="17"/>
      <c r="M234" s="17"/>
      <c r="N234" s="70">
        <f t="shared" si="10"/>
        <v>0</v>
      </c>
      <c r="O234" s="9"/>
    </row>
    <row r="235" spans="1:15" x14ac:dyDescent="0.3">
      <c r="B235" s="149"/>
      <c r="C235" s="149"/>
      <c r="D235" s="149"/>
      <c r="E235" s="9"/>
      <c r="F235" s="72"/>
      <c r="G235" s="72"/>
      <c r="H235" s="72"/>
      <c r="I235" s="72"/>
      <c r="J235" s="72"/>
      <c r="K235" s="72"/>
      <c r="L235" s="17"/>
      <c r="M235" s="17"/>
      <c r="N235" s="70">
        <f t="shared" si="10"/>
        <v>0</v>
      </c>
      <c r="O235" s="9"/>
    </row>
    <row r="236" spans="1:15" x14ac:dyDescent="0.3">
      <c r="B236" s="149"/>
      <c r="C236" s="149"/>
      <c r="D236" s="149"/>
      <c r="E236" s="9"/>
      <c r="F236" s="72"/>
      <c r="G236" s="72"/>
      <c r="H236" s="72"/>
      <c r="I236" s="72"/>
      <c r="J236" s="72"/>
      <c r="K236" s="72"/>
      <c r="L236" s="17"/>
      <c r="M236" s="17"/>
      <c r="N236" s="70">
        <f t="shared" si="10"/>
        <v>0</v>
      </c>
      <c r="O236" s="9"/>
    </row>
    <row r="237" spans="1:15" x14ac:dyDescent="0.3">
      <c r="B237" s="149"/>
      <c r="C237" s="149"/>
      <c r="D237" s="149"/>
      <c r="E237" s="9"/>
      <c r="F237" s="72"/>
      <c r="G237" s="72"/>
      <c r="H237" s="72"/>
      <c r="I237" s="72"/>
      <c r="J237" s="72"/>
      <c r="K237" s="72"/>
      <c r="L237" s="17"/>
      <c r="M237" s="17"/>
      <c r="N237" s="70">
        <f t="shared" si="10"/>
        <v>0</v>
      </c>
      <c r="O237" s="9"/>
    </row>
    <row r="238" spans="1:15" x14ac:dyDescent="0.3">
      <c r="B238" s="149"/>
      <c r="C238" s="149"/>
      <c r="D238" s="149"/>
      <c r="E238" s="9"/>
      <c r="F238" s="72"/>
      <c r="G238" s="72"/>
      <c r="H238" s="72"/>
      <c r="I238" s="72"/>
      <c r="J238" s="72"/>
      <c r="K238" s="72"/>
      <c r="L238" s="17"/>
      <c r="M238" s="17"/>
      <c r="N238" s="70">
        <f t="shared" si="10"/>
        <v>0</v>
      </c>
      <c r="O238" s="9"/>
    </row>
    <row r="239" spans="1:15" x14ac:dyDescent="0.3">
      <c r="B239" s="149"/>
      <c r="C239" s="149"/>
      <c r="D239" s="149"/>
      <c r="E239" s="9"/>
      <c r="F239" s="72"/>
      <c r="G239" s="72"/>
      <c r="H239" s="72"/>
      <c r="I239" s="72"/>
      <c r="J239" s="72"/>
      <c r="K239" s="72"/>
      <c r="L239" s="17"/>
      <c r="M239" s="17"/>
      <c r="N239" s="70">
        <f t="shared" si="10"/>
        <v>0</v>
      </c>
      <c r="O239" s="9"/>
    </row>
    <row r="240" spans="1:15" x14ac:dyDescent="0.3">
      <c r="B240" s="149"/>
      <c r="C240" s="149"/>
      <c r="D240" s="149"/>
      <c r="E240" s="9"/>
      <c r="F240" s="72"/>
      <c r="G240" s="72"/>
      <c r="H240" s="72"/>
      <c r="I240" s="72"/>
      <c r="J240" s="72"/>
      <c r="K240" s="72"/>
      <c r="L240" s="17"/>
      <c r="M240" s="17"/>
      <c r="N240" s="70">
        <f t="shared" si="10"/>
        <v>0</v>
      </c>
      <c r="O240" s="9"/>
    </row>
    <row r="241" spans="1:15" x14ac:dyDescent="0.3">
      <c r="B241" s="149"/>
      <c r="C241" s="149"/>
      <c r="D241" s="149"/>
      <c r="E241" s="9"/>
      <c r="F241" s="72"/>
      <c r="G241" s="72"/>
      <c r="H241" s="72"/>
      <c r="I241" s="72"/>
      <c r="J241" s="72"/>
      <c r="K241" s="72"/>
      <c r="L241" s="17"/>
      <c r="M241" s="17"/>
      <c r="N241" s="70">
        <f t="shared" si="10"/>
        <v>0</v>
      </c>
      <c r="O241" s="9"/>
    </row>
    <row r="242" spans="1:15" x14ac:dyDescent="0.3">
      <c r="B242" s="149"/>
      <c r="C242" s="149"/>
      <c r="D242" s="149"/>
      <c r="E242" s="9"/>
      <c r="F242" s="72"/>
      <c r="G242" s="72"/>
      <c r="H242" s="72"/>
      <c r="I242" s="72"/>
      <c r="J242" s="72"/>
      <c r="K242" s="72"/>
      <c r="L242" s="17"/>
      <c r="M242" s="17"/>
      <c r="N242" s="70">
        <f t="shared" si="10"/>
        <v>0</v>
      </c>
      <c r="O242" s="9"/>
    </row>
    <row r="243" spans="1:15" x14ac:dyDescent="0.3">
      <c r="B243" s="149"/>
      <c r="C243" s="149"/>
      <c r="D243" s="149"/>
      <c r="E243" s="9"/>
      <c r="F243" s="72"/>
      <c r="G243" s="72"/>
      <c r="H243" s="72"/>
      <c r="I243" s="72"/>
      <c r="J243" s="72"/>
      <c r="K243" s="72"/>
      <c r="L243" s="17"/>
      <c r="M243" s="17"/>
      <c r="N243" s="70">
        <f t="shared" si="10"/>
        <v>0</v>
      </c>
      <c r="O243" s="9"/>
    </row>
    <row r="244" spans="1:15" x14ac:dyDescent="0.3">
      <c r="B244" s="149"/>
      <c r="C244" s="149"/>
      <c r="D244" s="149"/>
      <c r="E244" s="9"/>
      <c r="F244" s="72"/>
      <c r="G244" s="72"/>
      <c r="H244" s="72"/>
      <c r="I244" s="72"/>
      <c r="J244" s="72"/>
      <c r="K244" s="72"/>
      <c r="L244" s="17"/>
      <c r="M244" s="17"/>
      <c r="N244" s="70">
        <f t="shared" si="10"/>
        <v>0</v>
      </c>
      <c r="O244" s="9"/>
    </row>
    <row r="245" spans="1:15" x14ac:dyDescent="0.3">
      <c r="B245" s="149"/>
      <c r="C245" s="149"/>
      <c r="D245" s="149"/>
      <c r="E245" s="68"/>
      <c r="F245" s="39"/>
      <c r="G245" s="39"/>
      <c r="H245" s="39"/>
      <c r="I245" s="39"/>
      <c r="J245" s="39"/>
      <c r="K245" s="39"/>
      <c r="L245" s="39"/>
      <c r="M245" s="39"/>
      <c r="N245" s="70">
        <f t="shared" si="10"/>
        <v>0</v>
      </c>
      <c r="O245" s="39"/>
    </row>
    <row r="246" spans="1:15" x14ac:dyDescent="0.3">
      <c r="B246" s="149"/>
      <c r="C246" s="149"/>
      <c r="D246" s="149"/>
      <c r="E246" s="68"/>
      <c r="F246" s="39"/>
      <c r="G246" s="39"/>
      <c r="H246" s="39"/>
      <c r="I246" s="39"/>
      <c r="J246" s="39"/>
      <c r="K246" s="39"/>
      <c r="L246" s="39"/>
      <c r="M246" s="39"/>
      <c r="N246" s="70">
        <f t="shared" si="10"/>
        <v>0</v>
      </c>
      <c r="O246" s="39"/>
    </row>
    <row r="247" spans="1:15" x14ac:dyDescent="0.3">
      <c r="B247" s="149"/>
      <c r="C247" s="149"/>
      <c r="D247" s="149"/>
      <c r="E247" s="68"/>
      <c r="F247" s="39"/>
      <c r="G247" s="39"/>
      <c r="H247" s="39"/>
      <c r="I247" s="39"/>
      <c r="J247" s="39"/>
      <c r="K247" s="39"/>
      <c r="L247" s="39"/>
      <c r="M247" s="39"/>
      <c r="N247" s="70">
        <f t="shared" si="10"/>
        <v>0</v>
      </c>
      <c r="O247" s="39"/>
    </row>
    <row r="248" spans="1:15" x14ac:dyDescent="0.3">
      <c r="B248" s="149"/>
      <c r="C248" s="149"/>
      <c r="D248" s="149"/>
      <c r="E248" s="68"/>
      <c r="F248" s="39"/>
      <c r="G248" s="39"/>
      <c r="H248" s="39"/>
      <c r="I248" s="39"/>
      <c r="J248" s="39"/>
      <c r="K248" s="39"/>
      <c r="L248" s="39"/>
      <c r="M248" s="39"/>
      <c r="N248" s="70">
        <f t="shared" si="10"/>
        <v>0</v>
      </c>
      <c r="O248" s="39"/>
    </row>
    <row r="249" spans="1:15" x14ac:dyDescent="0.3">
      <c r="B249" s="149"/>
      <c r="C249" s="149"/>
      <c r="D249" s="149"/>
      <c r="E249" s="68"/>
      <c r="F249" s="39"/>
      <c r="G249" s="39"/>
      <c r="H249" s="39"/>
      <c r="I249" s="39"/>
      <c r="J249" s="39"/>
      <c r="K249" s="39"/>
      <c r="L249" s="39"/>
      <c r="M249" s="39"/>
      <c r="N249" s="70">
        <f t="shared" si="10"/>
        <v>0</v>
      </c>
      <c r="O249" s="39"/>
    </row>
    <row r="250" spans="1:15" ht="14.1" customHeight="1" x14ac:dyDescent="0.3">
      <c r="B250" s="145" t="s">
        <v>29</v>
      </c>
      <c r="C250" s="145"/>
      <c r="D250" s="145"/>
      <c r="E250" s="145"/>
      <c r="F250" s="145"/>
      <c r="G250" s="145"/>
      <c r="H250" s="145"/>
      <c r="I250" s="54">
        <f t="shared" ref="I250:N250" si="11">SUM(I230:I249)</f>
        <v>0</v>
      </c>
      <c r="J250" s="54">
        <f t="shared" si="11"/>
        <v>0</v>
      </c>
      <c r="K250" s="54">
        <f t="shared" si="11"/>
        <v>0</v>
      </c>
      <c r="L250" s="54">
        <f t="shared" si="11"/>
        <v>0</v>
      </c>
      <c r="M250" s="54">
        <f t="shared" si="11"/>
        <v>0</v>
      </c>
      <c r="N250" s="54">
        <f t="shared" si="11"/>
        <v>0</v>
      </c>
      <c r="O250" s="31"/>
    </row>
    <row r="252" spans="1:15" x14ac:dyDescent="0.3">
      <c r="A252" s="34" t="s">
        <v>169</v>
      </c>
      <c r="B252" s="143" t="s">
        <v>170</v>
      </c>
      <c r="C252" s="143"/>
      <c r="D252" s="143"/>
    </row>
    <row r="253" spans="1:15" x14ac:dyDescent="0.3">
      <c r="B253" s="44"/>
      <c r="C253" s="44"/>
      <c r="D253" s="44"/>
    </row>
    <row r="254" spans="1:15" ht="14.1" customHeight="1" x14ac:dyDescent="0.3">
      <c r="B254" s="15"/>
      <c r="C254" s="15"/>
      <c r="D254" s="15"/>
      <c r="E254" s="116" t="s">
        <v>140</v>
      </c>
      <c r="F254" s="116" t="s">
        <v>7</v>
      </c>
      <c r="G254" s="116" t="s">
        <v>8</v>
      </c>
      <c r="H254" s="116" t="s">
        <v>6</v>
      </c>
      <c r="I254" s="124" t="s">
        <v>142</v>
      </c>
      <c r="J254" s="124" t="s">
        <v>143</v>
      </c>
      <c r="K254" s="116" t="s">
        <v>144</v>
      </c>
      <c r="L254" s="116" t="s">
        <v>145</v>
      </c>
      <c r="M254" s="116"/>
      <c r="N254" s="116"/>
      <c r="O254" s="116"/>
    </row>
    <row r="255" spans="1:15" ht="18.149999999999999" customHeight="1" x14ac:dyDescent="0.3">
      <c r="B255" s="116" t="s">
        <v>5</v>
      </c>
      <c r="C255" s="116"/>
      <c r="D255" s="116"/>
      <c r="E255" s="116"/>
      <c r="F255" s="116"/>
      <c r="G255" s="116"/>
      <c r="H255" s="116"/>
      <c r="I255" s="124"/>
      <c r="J255" s="124"/>
      <c r="K255" s="116"/>
      <c r="L255" s="9" t="s">
        <v>6</v>
      </c>
      <c r="M255" s="9" t="s">
        <v>7</v>
      </c>
      <c r="N255" s="9" t="s">
        <v>10</v>
      </c>
      <c r="O255" s="23" t="s">
        <v>164</v>
      </c>
    </row>
    <row r="256" spans="1:15" x14ac:dyDescent="0.3">
      <c r="B256" s="116"/>
      <c r="C256" s="116"/>
      <c r="D256" s="116"/>
      <c r="E256" s="116"/>
      <c r="F256" s="65" t="s">
        <v>13</v>
      </c>
      <c r="G256" s="65" t="s">
        <v>13</v>
      </c>
      <c r="H256" s="65" t="s">
        <v>13</v>
      </c>
      <c r="I256" s="65" t="s">
        <v>15</v>
      </c>
      <c r="J256" s="65" t="s">
        <v>146</v>
      </c>
      <c r="K256" s="65" t="s">
        <v>146</v>
      </c>
      <c r="L256" s="17" t="s">
        <v>13</v>
      </c>
      <c r="M256" s="17" t="s">
        <v>13</v>
      </c>
      <c r="N256" s="17" t="s">
        <v>14</v>
      </c>
      <c r="O256" s="17" t="s">
        <v>13</v>
      </c>
    </row>
    <row r="257" spans="2:15" x14ac:dyDescent="0.3">
      <c r="B257" s="149"/>
      <c r="C257" s="149"/>
      <c r="D257" s="149"/>
      <c r="E257" s="9"/>
      <c r="F257" s="72"/>
      <c r="G257" s="72"/>
      <c r="H257" s="72"/>
      <c r="I257" s="72"/>
      <c r="J257" s="72"/>
      <c r="K257" s="72"/>
      <c r="L257" s="17"/>
      <c r="M257" s="17"/>
      <c r="N257" s="70">
        <f t="shared" ref="N257:N276" si="12">L257*M257</f>
        <v>0</v>
      </c>
      <c r="O257" s="9"/>
    </row>
    <row r="258" spans="2:15" x14ac:dyDescent="0.3">
      <c r="B258" s="149"/>
      <c r="C258" s="149"/>
      <c r="D258" s="149"/>
      <c r="E258" s="9"/>
      <c r="F258" s="72"/>
      <c r="G258" s="72"/>
      <c r="H258" s="72"/>
      <c r="I258" s="72"/>
      <c r="J258" s="72"/>
      <c r="K258" s="72"/>
      <c r="L258" s="17"/>
      <c r="M258" s="17"/>
      <c r="N258" s="70">
        <f t="shared" si="12"/>
        <v>0</v>
      </c>
      <c r="O258" s="9"/>
    </row>
    <row r="259" spans="2:15" x14ac:dyDescent="0.3">
      <c r="B259" s="149"/>
      <c r="C259" s="149"/>
      <c r="D259" s="149"/>
      <c r="E259" s="9"/>
      <c r="F259" s="72"/>
      <c r="G259" s="72"/>
      <c r="H259" s="72"/>
      <c r="I259" s="72"/>
      <c r="J259" s="72"/>
      <c r="K259" s="72"/>
      <c r="L259" s="17"/>
      <c r="M259" s="17"/>
      <c r="N259" s="70">
        <f t="shared" si="12"/>
        <v>0</v>
      </c>
      <c r="O259" s="9"/>
    </row>
    <row r="260" spans="2:15" x14ac:dyDescent="0.3">
      <c r="B260" s="149"/>
      <c r="C260" s="149"/>
      <c r="D260" s="149"/>
      <c r="E260" s="9"/>
      <c r="F260" s="72"/>
      <c r="G260" s="72"/>
      <c r="H260" s="72"/>
      <c r="I260" s="72"/>
      <c r="J260" s="72"/>
      <c r="K260" s="72"/>
      <c r="L260" s="17"/>
      <c r="M260" s="17"/>
      <c r="N260" s="70">
        <f t="shared" si="12"/>
        <v>0</v>
      </c>
      <c r="O260" s="9"/>
    </row>
    <row r="261" spans="2:15" x14ac:dyDescent="0.3">
      <c r="B261" s="149"/>
      <c r="C261" s="149"/>
      <c r="D261" s="149"/>
      <c r="E261" s="9"/>
      <c r="F261" s="72"/>
      <c r="G261" s="72"/>
      <c r="H261" s="72"/>
      <c r="I261" s="72"/>
      <c r="J261" s="72"/>
      <c r="K261" s="72"/>
      <c r="L261" s="17"/>
      <c r="M261" s="17"/>
      <c r="N261" s="70">
        <f t="shared" si="12"/>
        <v>0</v>
      </c>
      <c r="O261" s="9"/>
    </row>
    <row r="262" spans="2:15" x14ac:dyDescent="0.3">
      <c r="B262" s="149"/>
      <c r="C262" s="149"/>
      <c r="D262" s="149"/>
      <c r="E262" s="9"/>
      <c r="F262" s="72"/>
      <c r="G262" s="72"/>
      <c r="H262" s="72"/>
      <c r="I262" s="72"/>
      <c r="J262" s="72"/>
      <c r="K262" s="72"/>
      <c r="L262" s="17"/>
      <c r="M262" s="17"/>
      <c r="N262" s="70">
        <f t="shared" si="12"/>
        <v>0</v>
      </c>
      <c r="O262" s="9"/>
    </row>
    <row r="263" spans="2:15" x14ac:dyDescent="0.3">
      <c r="B263" s="149"/>
      <c r="C263" s="149"/>
      <c r="D263" s="149"/>
      <c r="E263" s="9"/>
      <c r="F263" s="72"/>
      <c r="G263" s="72"/>
      <c r="H263" s="72"/>
      <c r="I263" s="72"/>
      <c r="J263" s="72"/>
      <c r="K263" s="72"/>
      <c r="L263" s="17"/>
      <c r="M263" s="17"/>
      <c r="N263" s="70">
        <f t="shared" si="12"/>
        <v>0</v>
      </c>
      <c r="O263" s="9"/>
    </row>
    <row r="264" spans="2:15" x14ac:dyDescent="0.3">
      <c r="B264" s="149"/>
      <c r="C264" s="149"/>
      <c r="D264" s="149"/>
      <c r="E264" s="9"/>
      <c r="F264" s="72"/>
      <c r="G264" s="72"/>
      <c r="H264" s="72"/>
      <c r="I264" s="72"/>
      <c r="J264" s="72"/>
      <c r="K264" s="72"/>
      <c r="L264" s="17"/>
      <c r="M264" s="17"/>
      <c r="N264" s="70">
        <f t="shared" si="12"/>
        <v>0</v>
      </c>
      <c r="O264" s="9"/>
    </row>
    <row r="265" spans="2:15" x14ac:dyDescent="0.3">
      <c r="B265" s="149"/>
      <c r="C265" s="149"/>
      <c r="D265" s="149"/>
      <c r="E265" s="9"/>
      <c r="F265" s="72"/>
      <c r="G265" s="72"/>
      <c r="H265" s="72"/>
      <c r="I265" s="72"/>
      <c r="J265" s="72"/>
      <c r="K265" s="72"/>
      <c r="L265" s="17"/>
      <c r="M265" s="17"/>
      <c r="N265" s="70">
        <f t="shared" si="12"/>
        <v>0</v>
      </c>
      <c r="O265" s="9"/>
    </row>
    <row r="266" spans="2:15" x14ac:dyDescent="0.3">
      <c r="B266" s="149"/>
      <c r="C266" s="149"/>
      <c r="D266" s="149"/>
      <c r="E266" s="9"/>
      <c r="F266" s="72"/>
      <c r="G266" s="72"/>
      <c r="H266" s="72"/>
      <c r="I266" s="72"/>
      <c r="J266" s="72"/>
      <c r="K266" s="72"/>
      <c r="L266" s="17"/>
      <c r="M266" s="17"/>
      <c r="N266" s="70">
        <f t="shared" si="12"/>
        <v>0</v>
      </c>
      <c r="O266" s="9"/>
    </row>
    <row r="267" spans="2:15" x14ac:dyDescent="0.3">
      <c r="B267" s="149"/>
      <c r="C267" s="149"/>
      <c r="D267" s="149"/>
      <c r="E267" s="9"/>
      <c r="F267" s="72"/>
      <c r="G267" s="72"/>
      <c r="H267" s="72"/>
      <c r="I267" s="72"/>
      <c r="J267" s="72"/>
      <c r="K267" s="72"/>
      <c r="L267" s="17"/>
      <c r="M267" s="17"/>
      <c r="N267" s="70">
        <f t="shared" si="12"/>
        <v>0</v>
      </c>
      <c r="O267" s="9"/>
    </row>
    <row r="268" spans="2:15" x14ac:dyDescent="0.3">
      <c r="B268" s="149"/>
      <c r="C268" s="149"/>
      <c r="D268" s="149"/>
      <c r="E268" s="9"/>
      <c r="F268" s="72"/>
      <c r="G268" s="72"/>
      <c r="H268" s="72"/>
      <c r="I268" s="72"/>
      <c r="J268" s="72"/>
      <c r="K268" s="72"/>
      <c r="L268" s="17"/>
      <c r="M268" s="17"/>
      <c r="N268" s="70">
        <f t="shared" si="12"/>
        <v>0</v>
      </c>
      <c r="O268" s="9"/>
    </row>
    <row r="269" spans="2:15" x14ac:dyDescent="0.3">
      <c r="B269" s="149"/>
      <c r="C269" s="149"/>
      <c r="D269" s="149"/>
      <c r="E269" s="9"/>
      <c r="F269" s="72"/>
      <c r="G269" s="72"/>
      <c r="H269" s="72"/>
      <c r="I269" s="72"/>
      <c r="J269" s="72"/>
      <c r="K269" s="72"/>
      <c r="L269" s="17"/>
      <c r="M269" s="17"/>
      <c r="N269" s="70">
        <f t="shared" si="12"/>
        <v>0</v>
      </c>
      <c r="O269" s="9"/>
    </row>
    <row r="270" spans="2:15" x14ac:dyDescent="0.3">
      <c r="B270" s="149"/>
      <c r="C270" s="149"/>
      <c r="D270" s="149"/>
      <c r="E270" s="9"/>
      <c r="F270" s="72"/>
      <c r="G270" s="72"/>
      <c r="H270" s="72"/>
      <c r="I270" s="72"/>
      <c r="J270" s="72"/>
      <c r="K270" s="72"/>
      <c r="L270" s="17"/>
      <c r="M270" s="17"/>
      <c r="N270" s="70">
        <f t="shared" si="12"/>
        <v>0</v>
      </c>
      <c r="O270" s="9"/>
    </row>
    <row r="271" spans="2:15" x14ac:dyDescent="0.3">
      <c r="B271" s="149"/>
      <c r="C271" s="149"/>
      <c r="D271" s="149"/>
      <c r="E271" s="9"/>
      <c r="F271" s="72"/>
      <c r="G271" s="72"/>
      <c r="H271" s="72"/>
      <c r="I271" s="72"/>
      <c r="J271" s="72"/>
      <c r="K271" s="72"/>
      <c r="L271" s="17"/>
      <c r="M271" s="17"/>
      <c r="N271" s="70">
        <f t="shared" si="12"/>
        <v>0</v>
      </c>
      <c r="O271" s="9"/>
    </row>
    <row r="272" spans="2:15" x14ac:dyDescent="0.3">
      <c r="B272" s="149"/>
      <c r="C272" s="149"/>
      <c r="D272" s="149"/>
      <c r="E272" s="68"/>
      <c r="F272" s="39"/>
      <c r="G272" s="39"/>
      <c r="H272" s="39"/>
      <c r="I272" s="39"/>
      <c r="J272" s="39"/>
      <c r="K272" s="39"/>
      <c r="L272" s="39"/>
      <c r="M272" s="39"/>
      <c r="N272" s="70">
        <f t="shared" si="12"/>
        <v>0</v>
      </c>
      <c r="O272" s="39"/>
    </row>
    <row r="273" spans="1:15" x14ac:dyDescent="0.3">
      <c r="B273" s="149"/>
      <c r="C273" s="149"/>
      <c r="D273" s="149"/>
      <c r="E273" s="68"/>
      <c r="F273" s="39"/>
      <c r="G273" s="39"/>
      <c r="H273" s="39"/>
      <c r="I273" s="39"/>
      <c r="J273" s="39"/>
      <c r="K273" s="39"/>
      <c r="L273" s="39"/>
      <c r="M273" s="39"/>
      <c r="N273" s="70">
        <f t="shared" si="12"/>
        <v>0</v>
      </c>
      <c r="O273" s="39"/>
    </row>
    <row r="274" spans="1:15" x14ac:dyDescent="0.3">
      <c r="B274" s="149"/>
      <c r="C274" s="149"/>
      <c r="D274" s="149"/>
      <c r="E274" s="68"/>
      <c r="F274" s="39"/>
      <c r="G274" s="39"/>
      <c r="H274" s="39"/>
      <c r="I274" s="39"/>
      <c r="J274" s="39"/>
      <c r="K274" s="39"/>
      <c r="L274" s="39"/>
      <c r="M274" s="39"/>
      <c r="N274" s="70">
        <f t="shared" si="12"/>
        <v>0</v>
      </c>
      <c r="O274" s="39"/>
    </row>
    <row r="275" spans="1:15" x14ac:dyDescent="0.3">
      <c r="B275" s="149"/>
      <c r="C275" s="149"/>
      <c r="D275" s="149"/>
      <c r="E275" s="68"/>
      <c r="F275" s="39"/>
      <c r="G275" s="39"/>
      <c r="H275" s="39"/>
      <c r="I275" s="39"/>
      <c r="J275" s="39"/>
      <c r="K275" s="39"/>
      <c r="L275" s="39"/>
      <c r="M275" s="39"/>
      <c r="N275" s="70">
        <f t="shared" si="12"/>
        <v>0</v>
      </c>
      <c r="O275" s="39"/>
    </row>
    <row r="276" spans="1:15" x14ac:dyDescent="0.3">
      <c r="B276" s="149"/>
      <c r="C276" s="149"/>
      <c r="D276" s="149"/>
      <c r="E276" s="68"/>
      <c r="F276" s="39"/>
      <c r="G276" s="39"/>
      <c r="H276" s="39"/>
      <c r="I276" s="39"/>
      <c r="J276" s="39"/>
      <c r="K276" s="39"/>
      <c r="L276" s="39"/>
      <c r="M276" s="39"/>
      <c r="N276" s="70">
        <f t="shared" si="12"/>
        <v>0</v>
      </c>
      <c r="O276" s="39"/>
    </row>
    <row r="277" spans="1:15" ht="14.1" customHeight="1" x14ac:dyDescent="0.3">
      <c r="B277" s="145" t="s">
        <v>29</v>
      </c>
      <c r="C277" s="145"/>
      <c r="D277" s="145"/>
      <c r="E277" s="145"/>
      <c r="F277" s="145"/>
      <c r="G277" s="145"/>
      <c r="H277" s="145"/>
      <c r="I277" s="54">
        <f t="shared" ref="I277:N277" si="13">SUM(I257:I276)</f>
        <v>0</v>
      </c>
      <c r="J277" s="54">
        <f t="shared" si="13"/>
        <v>0</v>
      </c>
      <c r="K277" s="54">
        <f t="shared" si="13"/>
        <v>0</v>
      </c>
      <c r="L277" s="54">
        <f t="shared" si="13"/>
        <v>0</v>
      </c>
      <c r="M277" s="54">
        <f t="shared" si="13"/>
        <v>0</v>
      </c>
      <c r="N277" s="54">
        <f t="shared" si="13"/>
        <v>0</v>
      </c>
      <c r="O277" s="31"/>
    </row>
    <row r="279" spans="1:15" x14ac:dyDescent="0.3">
      <c r="A279" s="34" t="s">
        <v>171</v>
      </c>
      <c r="B279" s="130" t="s">
        <v>172</v>
      </c>
      <c r="C279" s="130"/>
      <c r="D279" s="130"/>
      <c r="E279" s="130"/>
    </row>
    <row r="281" spans="1:15" ht="14.1" customHeight="1" x14ac:dyDescent="0.3">
      <c r="B281" s="15"/>
      <c r="C281" s="15"/>
      <c r="D281" s="15"/>
      <c r="E281" s="116" t="s">
        <v>140</v>
      </c>
      <c r="F281" s="116" t="s">
        <v>7</v>
      </c>
      <c r="G281" s="116" t="s">
        <v>8</v>
      </c>
      <c r="H281" s="116" t="s">
        <v>6</v>
      </c>
      <c r="I281" s="124" t="s">
        <v>142</v>
      </c>
      <c r="J281" s="124" t="s">
        <v>143</v>
      </c>
      <c r="K281" s="116" t="s">
        <v>144</v>
      </c>
      <c r="L281" s="116" t="s">
        <v>145</v>
      </c>
      <c r="M281" s="116"/>
      <c r="N281" s="116"/>
      <c r="O281" s="116"/>
    </row>
    <row r="282" spans="1:15" ht="18.149999999999999" customHeight="1" x14ac:dyDescent="0.3">
      <c r="B282" s="116" t="s">
        <v>5</v>
      </c>
      <c r="C282" s="116"/>
      <c r="D282" s="116"/>
      <c r="E282" s="116"/>
      <c r="F282" s="116"/>
      <c r="G282" s="116"/>
      <c r="H282" s="116"/>
      <c r="I282" s="124"/>
      <c r="J282" s="124"/>
      <c r="K282" s="116"/>
      <c r="L282" s="9" t="s">
        <v>6</v>
      </c>
      <c r="M282" s="9" t="s">
        <v>7</v>
      </c>
      <c r="N282" s="9" t="s">
        <v>10</v>
      </c>
      <c r="O282" s="23" t="s">
        <v>164</v>
      </c>
    </row>
    <row r="283" spans="1:15" x14ac:dyDescent="0.3">
      <c r="B283" s="116"/>
      <c r="C283" s="116"/>
      <c r="D283" s="116"/>
      <c r="E283" s="116"/>
      <c r="F283" s="65" t="s">
        <v>13</v>
      </c>
      <c r="G283" s="65" t="s">
        <v>13</v>
      </c>
      <c r="H283" s="65" t="s">
        <v>13</v>
      </c>
      <c r="I283" s="65" t="s">
        <v>15</v>
      </c>
      <c r="J283" s="65" t="s">
        <v>146</v>
      </c>
      <c r="K283" s="65" t="s">
        <v>146</v>
      </c>
      <c r="L283" s="17" t="s">
        <v>13</v>
      </c>
      <c r="M283" s="17" t="s">
        <v>13</v>
      </c>
      <c r="N283" s="17" t="s">
        <v>14</v>
      </c>
      <c r="O283" s="17" t="s">
        <v>13</v>
      </c>
    </row>
    <row r="284" spans="1:15" x14ac:dyDescent="0.3">
      <c r="B284" s="149"/>
      <c r="C284" s="149"/>
      <c r="D284" s="149"/>
      <c r="E284" s="9"/>
      <c r="F284" s="72"/>
      <c r="G284" s="72"/>
      <c r="H284" s="72"/>
      <c r="I284" s="72"/>
      <c r="J284" s="72"/>
      <c r="K284" s="72"/>
      <c r="L284" s="17"/>
      <c r="M284" s="17"/>
      <c r="N284" s="70">
        <f t="shared" ref="N284:N303" si="14">L284*M284</f>
        <v>0</v>
      </c>
      <c r="O284" s="9"/>
    </row>
    <row r="285" spans="1:15" x14ac:dyDescent="0.3">
      <c r="B285" s="149"/>
      <c r="C285" s="149"/>
      <c r="D285" s="149"/>
      <c r="E285" s="9"/>
      <c r="F285" s="72"/>
      <c r="G285" s="72"/>
      <c r="H285" s="72"/>
      <c r="I285" s="72"/>
      <c r="J285" s="72"/>
      <c r="K285" s="72"/>
      <c r="L285" s="17"/>
      <c r="M285" s="17"/>
      <c r="N285" s="70">
        <f t="shared" si="14"/>
        <v>0</v>
      </c>
      <c r="O285" s="9"/>
    </row>
    <row r="286" spans="1:15" x14ac:dyDescent="0.3">
      <c r="B286" s="149"/>
      <c r="C286" s="149"/>
      <c r="D286" s="149"/>
      <c r="E286" s="9"/>
      <c r="F286" s="72"/>
      <c r="G286" s="72"/>
      <c r="H286" s="72"/>
      <c r="I286" s="72"/>
      <c r="J286" s="72"/>
      <c r="K286" s="72"/>
      <c r="L286" s="17"/>
      <c r="M286" s="17"/>
      <c r="N286" s="70">
        <f t="shared" si="14"/>
        <v>0</v>
      </c>
      <c r="O286" s="9"/>
    </row>
    <row r="287" spans="1:15" x14ac:dyDescent="0.3">
      <c r="B287" s="149"/>
      <c r="C287" s="149"/>
      <c r="D287" s="149"/>
      <c r="E287" s="9"/>
      <c r="F287" s="72"/>
      <c r="G287" s="72"/>
      <c r="H287" s="72"/>
      <c r="I287" s="72"/>
      <c r="J287" s="72"/>
      <c r="K287" s="72"/>
      <c r="L287" s="17"/>
      <c r="M287" s="17"/>
      <c r="N287" s="70">
        <f t="shared" si="14"/>
        <v>0</v>
      </c>
      <c r="O287" s="9"/>
    </row>
    <row r="288" spans="1:15" x14ac:dyDescent="0.3">
      <c r="B288" s="149"/>
      <c r="C288" s="149"/>
      <c r="D288" s="149"/>
      <c r="E288" s="9"/>
      <c r="F288" s="72"/>
      <c r="G288" s="72"/>
      <c r="H288" s="72"/>
      <c r="I288" s="72"/>
      <c r="J288" s="72"/>
      <c r="K288" s="72"/>
      <c r="L288" s="17"/>
      <c r="M288" s="17"/>
      <c r="N288" s="70">
        <f t="shared" si="14"/>
        <v>0</v>
      </c>
      <c r="O288" s="9"/>
    </row>
    <row r="289" spans="2:15" x14ac:dyDescent="0.3">
      <c r="B289" s="149"/>
      <c r="C289" s="149"/>
      <c r="D289" s="149"/>
      <c r="E289" s="9"/>
      <c r="F289" s="72"/>
      <c r="G289" s="72"/>
      <c r="H289" s="72"/>
      <c r="I289" s="72"/>
      <c r="J289" s="72"/>
      <c r="K289" s="72"/>
      <c r="L289" s="17"/>
      <c r="M289" s="17"/>
      <c r="N289" s="70">
        <f t="shared" si="14"/>
        <v>0</v>
      </c>
      <c r="O289" s="9"/>
    </row>
    <row r="290" spans="2:15" x14ac:dyDescent="0.3">
      <c r="B290" s="149"/>
      <c r="C290" s="149"/>
      <c r="D290" s="149"/>
      <c r="E290" s="9"/>
      <c r="F290" s="72"/>
      <c r="G290" s="72"/>
      <c r="H290" s="72"/>
      <c r="I290" s="72"/>
      <c r="J290" s="72"/>
      <c r="K290" s="72"/>
      <c r="L290" s="17"/>
      <c r="M290" s="17"/>
      <c r="N290" s="70">
        <f t="shared" si="14"/>
        <v>0</v>
      </c>
      <c r="O290" s="9"/>
    </row>
    <row r="291" spans="2:15" x14ac:dyDescent="0.3">
      <c r="B291" s="149"/>
      <c r="C291" s="149"/>
      <c r="D291" s="149"/>
      <c r="E291" s="9"/>
      <c r="F291" s="72"/>
      <c r="G291" s="72"/>
      <c r="H291" s="72"/>
      <c r="I291" s="72"/>
      <c r="J291" s="72"/>
      <c r="K291" s="72"/>
      <c r="L291" s="17"/>
      <c r="M291" s="17"/>
      <c r="N291" s="70">
        <f t="shared" si="14"/>
        <v>0</v>
      </c>
      <c r="O291" s="9"/>
    </row>
    <row r="292" spans="2:15" x14ac:dyDescent="0.3">
      <c r="B292" s="149"/>
      <c r="C292" s="149"/>
      <c r="D292" s="149"/>
      <c r="E292" s="9"/>
      <c r="F292" s="72"/>
      <c r="G292" s="72"/>
      <c r="H292" s="72"/>
      <c r="I292" s="72"/>
      <c r="J292" s="72"/>
      <c r="K292" s="72"/>
      <c r="L292" s="17"/>
      <c r="M292" s="17"/>
      <c r="N292" s="70">
        <f t="shared" si="14"/>
        <v>0</v>
      </c>
      <c r="O292" s="9"/>
    </row>
    <row r="293" spans="2:15" x14ac:dyDescent="0.3">
      <c r="B293" s="149"/>
      <c r="C293" s="149"/>
      <c r="D293" s="149"/>
      <c r="E293" s="9"/>
      <c r="F293" s="72"/>
      <c r="G293" s="72"/>
      <c r="H293" s="72"/>
      <c r="I293" s="72"/>
      <c r="J293" s="72"/>
      <c r="K293" s="72"/>
      <c r="L293" s="17"/>
      <c r="M293" s="17"/>
      <c r="N293" s="70">
        <f t="shared" si="14"/>
        <v>0</v>
      </c>
      <c r="O293" s="9"/>
    </row>
    <row r="294" spans="2:15" x14ac:dyDescent="0.3">
      <c r="B294" s="149"/>
      <c r="C294" s="149"/>
      <c r="D294" s="149"/>
      <c r="E294" s="9"/>
      <c r="F294" s="72"/>
      <c r="G294" s="72"/>
      <c r="H294" s="72"/>
      <c r="I294" s="72"/>
      <c r="J294" s="72"/>
      <c r="K294" s="72"/>
      <c r="L294" s="17"/>
      <c r="M294" s="17"/>
      <c r="N294" s="70">
        <f t="shared" si="14"/>
        <v>0</v>
      </c>
      <c r="O294" s="9"/>
    </row>
    <row r="295" spans="2:15" x14ac:dyDescent="0.3">
      <c r="B295" s="149"/>
      <c r="C295" s="149"/>
      <c r="D295" s="149"/>
      <c r="E295" s="9"/>
      <c r="F295" s="72"/>
      <c r="G295" s="72"/>
      <c r="H295" s="72"/>
      <c r="I295" s="72"/>
      <c r="J295" s="72"/>
      <c r="K295" s="72"/>
      <c r="L295" s="17"/>
      <c r="M295" s="17"/>
      <c r="N295" s="70">
        <f t="shared" si="14"/>
        <v>0</v>
      </c>
      <c r="O295" s="9"/>
    </row>
    <row r="296" spans="2:15" x14ac:dyDescent="0.3">
      <c r="B296" s="149"/>
      <c r="C296" s="149"/>
      <c r="D296" s="149"/>
      <c r="E296" s="9"/>
      <c r="F296" s="72"/>
      <c r="G296" s="72"/>
      <c r="H296" s="72"/>
      <c r="I296" s="72"/>
      <c r="J296" s="72"/>
      <c r="K296" s="72"/>
      <c r="L296" s="17"/>
      <c r="M296" s="17"/>
      <c r="N296" s="70">
        <f t="shared" si="14"/>
        <v>0</v>
      </c>
      <c r="O296" s="9"/>
    </row>
    <row r="297" spans="2:15" x14ac:dyDescent="0.3">
      <c r="B297" s="149"/>
      <c r="C297" s="149"/>
      <c r="D297" s="149"/>
      <c r="E297" s="9"/>
      <c r="F297" s="72"/>
      <c r="G297" s="72"/>
      <c r="H297" s="72"/>
      <c r="I297" s="72"/>
      <c r="J297" s="72"/>
      <c r="K297" s="72"/>
      <c r="L297" s="17"/>
      <c r="M297" s="17"/>
      <c r="N297" s="70">
        <f t="shared" si="14"/>
        <v>0</v>
      </c>
      <c r="O297" s="9"/>
    </row>
    <row r="298" spans="2:15" x14ac:dyDescent="0.3">
      <c r="B298" s="149"/>
      <c r="C298" s="149"/>
      <c r="D298" s="149"/>
      <c r="E298" s="9"/>
      <c r="F298" s="72"/>
      <c r="G298" s="72"/>
      <c r="H298" s="72"/>
      <c r="I298" s="72"/>
      <c r="J298" s="72"/>
      <c r="K298" s="72"/>
      <c r="L298" s="17"/>
      <c r="M298" s="17"/>
      <c r="N298" s="70">
        <f t="shared" si="14"/>
        <v>0</v>
      </c>
      <c r="O298" s="9"/>
    </row>
    <row r="299" spans="2:15" x14ac:dyDescent="0.3">
      <c r="B299" s="149"/>
      <c r="C299" s="149"/>
      <c r="D299" s="149"/>
      <c r="E299" s="68"/>
      <c r="F299" s="39"/>
      <c r="G299" s="39"/>
      <c r="H299" s="39"/>
      <c r="I299" s="39"/>
      <c r="J299" s="39"/>
      <c r="K299" s="39"/>
      <c r="L299" s="39"/>
      <c r="M299" s="39"/>
      <c r="N299" s="70">
        <f t="shared" si="14"/>
        <v>0</v>
      </c>
      <c r="O299" s="39"/>
    </row>
    <row r="300" spans="2:15" x14ac:dyDescent="0.3">
      <c r="B300" s="149"/>
      <c r="C300" s="149"/>
      <c r="D300" s="149"/>
      <c r="E300" s="68"/>
      <c r="F300" s="39"/>
      <c r="G300" s="39"/>
      <c r="H300" s="39"/>
      <c r="I300" s="39"/>
      <c r="J300" s="39"/>
      <c r="K300" s="39"/>
      <c r="L300" s="39"/>
      <c r="M300" s="39"/>
      <c r="N300" s="70">
        <f t="shared" si="14"/>
        <v>0</v>
      </c>
      <c r="O300" s="39"/>
    </row>
    <row r="301" spans="2:15" x14ac:dyDescent="0.3">
      <c r="B301" s="149"/>
      <c r="C301" s="149"/>
      <c r="D301" s="149"/>
      <c r="E301" s="68"/>
      <c r="F301" s="39"/>
      <c r="G301" s="39"/>
      <c r="H301" s="39"/>
      <c r="I301" s="39"/>
      <c r="J301" s="39"/>
      <c r="K301" s="39"/>
      <c r="L301" s="39"/>
      <c r="M301" s="39"/>
      <c r="N301" s="70">
        <f t="shared" si="14"/>
        <v>0</v>
      </c>
      <c r="O301" s="39"/>
    </row>
    <row r="302" spans="2:15" x14ac:dyDescent="0.3">
      <c r="B302" s="149"/>
      <c r="C302" s="149"/>
      <c r="D302" s="149"/>
      <c r="E302" s="68"/>
      <c r="F302" s="39"/>
      <c r="G302" s="39"/>
      <c r="H302" s="39"/>
      <c r="I302" s="39"/>
      <c r="J302" s="39"/>
      <c r="K302" s="39"/>
      <c r="L302" s="39"/>
      <c r="M302" s="39"/>
      <c r="N302" s="70">
        <f t="shared" si="14"/>
        <v>0</v>
      </c>
      <c r="O302" s="39"/>
    </row>
    <row r="303" spans="2:15" x14ac:dyDescent="0.3">
      <c r="B303" s="149"/>
      <c r="C303" s="149"/>
      <c r="D303" s="149"/>
      <c r="E303" s="68"/>
      <c r="F303" s="39"/>
      <c r="G303" s="39"/>
      <c r="H303" s="39"/>
      <c r="I303" s="39"/>
      <c r="J303" s="39"/>
      <c r="K303" s="39"/>
      <c r="L303" s="39"/>
      <c r="M303" s="39"/>
      <c r="N303" s="70">
        <f t="shared" si="14"/>
        <v>0</v>
      </c>
      <c r="O303" s="39"/>
    </row>
    <row r="304" spans="2:15" ht="14.1" customHeight="1" x14ac:dyDescent="0.3">
      <c r="B304" s="145" t="s">
        <v>29</v>
      </c>
      <c r="C304" s="145"/>
      <c r="D304" s="145"/>
      <c r="E304" s="145"/>
      <c r="F304" s="145"/>
      <c r="G304" s="145"/>
      <c r="H304" s="145"/>
      <c r="I304" s="54">
        <f t="shared" ref="I304:N304" si="15">SUM(I284:I303)</f>
        <v>0</v>
      </c>
      <c r="J304" s="54">
        <f t="shared" si="15"/>
        <v>0</v>
      </c>
      <c r="K304" s="54">
        <f t="shared" si="15"/>
        <v>0</v>
      </c>
      <c r="L304" s="54">
        <f t="shared" si="15"/>
        <v>0</v>
      </c>
      <c r="M304" s="54">
        <f t="shared" si="15"/>
        <v>0</v>
      </c>
      <c r="N304" s="54">
        <f t="shared" si="15"/>
        <v>0</v>
      </c>
      <c r="O304" s="31"/>
    </row>
    <row r="306" spans="1:15" x14ac:dyDescent="0.3">
      <c r="A306" s="34" t="s">
        <v>173</v>
      </c>
      <c r="B306" s="130" t="s">
        <v>174</v>
      </c>
      <c r="C306" s="130"/>
      <c r="D306" s="130"/>
      <c r="E306" s="130"/>
    </row>
    <row r="308" spans="1:15" ht="14.1" customHeight="1" x14ac:dyDescent="0.3">
      <c r="B308" s="15"/>
      <c r="C308" s="15"/>
      <c r="D308" s="15"/>
      <c r="E308" s="116" t="s">
        <v>140</v>
      </c>
      <c r="F308" s="116" t="s">
        <v>7</v>
      </c>
      <c r="G308" s="116" t="s">
        <v>8</v>
      </c>
      <c r="H308" s="116" t="s">
        <v>6</v>
      </c>
      <c r="I308" s="124" t="s">
        <v>142</v>
      </c>
      <c r="J308" s="124" t="s">
        <v>143</v>
      </c>
      <c r="K308" s="116" t="s">
        <v>144</v>
      </c>
      <c r="L308" s="116" t="s">
        <v>145</v>
      </c>
      <c r="M308" s="116"/>
      <c r="N308" s="116"/>
      <c r="O308" s="116"/>
    </row>
    <row r="309" spans="1:15" ht="18.149999999999999" customHeight="1" x14ac:dyDescent="0.3">
      <c r="B309" s="116" t="s">
        <v>5</v>
      </c>
      <c r="C309" s="116"/>
      <c r="D309" s="116"/>
      <c r="E309" s="116"/>
      <c r="F309" s="116"/>
      <c r="G309" s="116"/>
      <c r="H309" s="116"/>
      <c r="I309" s="124"/>
      <c r="J309" s="124"/>
      <c r="K309" s="116"/>
      <c r="L309" s="9" t="s">
        <v>6</v>
      </c>
      <c r="M309" s="9" t="s">
        <v>7</v>
      </c>
      <c r="N309" s="9" t="s">
        <v>10</v>
      </c>
      <c r="O309" s="23" t="s">
        <v>164</v>
      </c>
    </row>
    <row r="310" spans="1:15" x14ac:dyDescent="0.3">
      <c r="B310" s="116"/>
      <c r="C310" s="116"/>
      <c r="D310" s="116"/>
      <c r="E310" s="116"/>
      <c r="F310" s="65" t="s">
        <v>13</v>
      </c>
      <c r="G310" s="65" t="s">
        <v>13</v>
      </c>
      <c r="H310" s="65" t="s">
        <v>13</v>
      </c>
      <c r="I310" s="65" t="s">
        <v>15</v>
      </c>
      <c r="J310" s="65" t="s">
        <v>146</v>
      </c>
      <c r="K310" s="65" t="s">
        <v>146</v>
      </c>
      <c r="L310" s="17" t="s">
        <v>13</v>
      </c>
      <c r="M310" s="17" t="s">
        <v>13</v>
      </c>
      <c r="N310" s="17" t="s">
        <v>14</v>
      </c>
      <c r="O310" s="17" t="s">
        <v>13</v>
      </c>
    </row>
    <row r="311" spans="1:15" x14ac:dyDescent="0.3">
      <c r="B311" s="149"/>
      <c r="C311" s="149"/>
      <c r="D311" s="149"/>
      <c r="E311" s="9"/>
      <c r="F311" s="72"/>
      <c r="G311" s="72"/>
      <c r="H311" s="72"/>
      <c r="I311" s="72"/>
      <c r="J311" s="72"/>
      <c r="K311" s="72"/>
      <c r="L311" s="17"/>
      <c r="M311" s="17"/>
      <c r="N311" s="70">
        <f t="shared" ref="N311:N330" si="16">L311*M311</f>
        <v>0</v>
      </c>
      <c r="O311" s="9"/>
    </row>
    <row r="312" spans="1:15" x14ac:dyDescent="0.3">
      <c r="B312" s="149"/>
      <c r="C312" s="149"/>
      <c r="D312" s="149"/>
      <c r="E312" s="9"/>
      <c r="F312" s="72"/>
      <c r="G312" s="72"/>
      <c r="H312" s="72"/>
      <c r="I312" s="72"/>
      <c r="J312" s="72"/>
      <c r="K312" s="72"/>
      <c r="L312" s="17"/>
      <c r="M312" s="17"/>
      <c r="N312" s="70">
        <f t="shared" si="16"/>
        <v>0</v>
      </c>
      <c r="O312" s="9"/>
    </row>
    <row r="313" spans="1:15" x14ac:dyDescent="0.3">
      <c r="B313" s="149"/>
      <c r="C313" s="149"/>
      <c r="D313" s="149"/>
      <c r="E313" s="9"/>
      <c r="F313" s="72"/>
      <c r="G313" s="72"/>
      <c r="H313" s="72"/>
      <c r="I313" s="72"/>
      <c r="J313" s="72"/>
      <c r="K313" s="72"/>
      <c r="L313" s="17"/>
      <c r="M313" s="17"/>
      <c r="N313" s="70">
        <f t="shared" si="16"/>
        <v>0</v>
      </c>
      <c r="O313" s="9"/>
    </row>
    <row r="314" spans="1:15" x14ac:dyDescent="0.3">
      <c r="B314" s="149"/>
      <c r="C314" s="149"/>
      <c r="D314" s="149"/>
      <c r="E314" s="9"/>
      <c r="F314" s="72"/>
      <c r="G314" s="72"/>
      <c r="H314" s="72"/>
      <c r="I314" s="72"/>
      <c r="J314" s="72"/>
      <c r="K314" s="72"/>
      <c r="L314" s="17"/>
      <c r="M314" s="17"/>
      <c r="N314" s="70">
        <f t="shared" si="16"/>
        <v>0</v>
      </c>
      <c r="O314" s="9"/>
    </row>
    <row r="315" spans="1:15" x14ac:dyDescent="0.3">
      <c r="B315" s="149"/>
      <c r="C315" s="149"/>
      <c r="D315" s="149"/>
      <c r="E315" s="9"/>
      <c r="F315" s="72"/>
      <c r="G315" s="72"/>
      <c r="H315" s="72"/>
      <c r="I315" s="72"/>
      <c r="J315" s="72"/>
      <c r="K315" s="72"/>
      <c r="L315" s="17"/>
      <c r="M315" s="17"/>
      <c r="N315" s="70">
        <f t="shared" si="16"/>
        <v>0</v>
      </c>
      <c r="O315" s="9"/>
    </row>
    <row r="316" spans="1:15" x14ac:dyDescent="0.3">
      <c r="B316" s="149"/>
      <c r="C316" s="149"/>
      <c r="D316" s="149"/>
      <c r="E316" s="9"/>
      <c r="F316" s="72"/>
      <c r="G316" s="72"/>
      <c r="H316" s="72"/>
      <c r="I316" s="72"/>
      <c r="J316" s="72"/>
      <c r="K316" s="72"/>
      <c r="L316" s="17"/>
      <c r="M316" s="17"/>
      <c r="N316" s="70">
        <f t="shared" si="16"/>
        <v>0</v>
      </c>
      <c r="O316" s="9"/>
    </row>
    <row r="317" spans="1:15" x14ac:dyDescent="0.3">
      <c r="B317" s="149"/>
      <c r="C317" s="149"/>
      <c r="D317" s="149"/>
      <c r="E317" s="9"/>
      <c r="F317" s="72"/>
      <c r="G317" s="72"/>
      <c r="H317" s="72"/>
      <c r="I317" s="72"/>
      <c r="J317" s="72"/>
      <c r="K317" s="72"/>
      <c r="L317" s="17"/>
      <c r="M317" s="17"/>
      <c r="N317" s="70">
        <f t="shared" si="16"/>
        <v>0</v>
      </c>
      <c r="O317" s="9"/>
    </row>
    <row r="318" spans="1:15" x14ac:dyDescent="0.3">
      <c r="B318" s="149"/>
      <c r="C318" s="149"/>
      <c r="D318" s="149"/>
      <c r="E318" s="9"/>
      <c r="F318" s="72"/>
      <c r="G318" s="72"/>
      <c r="H318" s="72"/>
      <c r="I318" s="72"/>
      <c r="J318" s="72"/>
      <c r="K318" s="72"/>
      <c r="L318" s="17"/>
      <c r="M318" s="17"/>
      <c r="N318" s="70">
        <f t="shared" si="16"/>
        <v>0</v>
      </c>
      <c r="O318" s="9"/>
    </row>
    <row r="319" spans="1:15" x14ac:dyDescent="0.3">
      <c r="B319" s="149"/>
      <c r="C319" s="149"/>
      <c r="D319" s="149"/>
      <c r="E319" s="9"/>
      <c r="F319" s="72"/>
      <c r="G319" s="72"/>
      <c r="H319" s="72"/>
      <c r="I319" s="72"/>
      <c r="J319" s="72"/>
      <c r="K319" s="72"/>
      <c r="L319" s="17"/>
      <c r="M319" s="17"/>
      <c r="N319" s="70">
        <f t="shared" si="16"/>
        <v>0</v>
      </c>
      <c r="O319" s="9"/>
    </row>
    <row r="320" spans="1:15" x14ac:dyDescent="0.3">
      <c r="B320" s="149"/>
      <c r="C320" s="149"/>
      <c r="D320" s="149"/>
      <c r="E320" s="9"/>
      <c r="F320" s="72"/>
      <c r="G320" s="72"/>
      <c r="H320" s="72"/>
      <c r="I320" s="72"/>
      <c r="J320" s="72"/>
      <c r="K320" s="72"/>
      <c r="L320" s="17"/>
      <c r="M320" s="17"/>
      <c r="N320" s="70">
        <f t="shared" si="16"/>
        <v>0</v>
      </c>
      <c r="O320" s="9"/>
    </row>
    <row r="321" spans="1:15" x14ac:dyDescent="0.3">
      <c r="B321" s="149"/>
      <c r="C321" s="149"/>
      <c r="D321" s="149"/>
      <c r="E321" s="9"/>
      <c r="F321" s="72"/>
      <c r="G321" s="72"/>
      <c r="H321" s="72"/>
      <c r="I321" s="72"/>
      <c r="J321" s="72"/>
      <c r="K321" s="72"/>
      <c r="L321" s="17"/>
      <c r="M321" s="17"/>
      <c r="N321" s="70">
        <f t="shared" si="16"/>
        <v>0</v>
      </c>
      <c r="O321" s="9"/>
    </row>
    <row r="322" spans="1:15" x14ac:dyDescent="0.3">
      <c r="B322" s="149"/>
      <c r="C322" s="149"/>
      <c r="D322" s="149"/>
      <c r="E322" s="9"/>
      <c r="F322" s="72"/>
      <c r="G322" s="72"/>
      <c r="H322" s="72"/>
      <c r="I322" s="72"/>
      <c r="J322" s="72"/>
      <c r="K322" s="72"/>
      <c r="L322" s="17"/>
      <c r="M322" s="17"/>
      <c r="N322" s="70">
        <f t="shared" si="16"/>
        <v>0</v>
      </c>
      <c r="O322" s="9"/>
    </row>
    <row r="323" spans="1:15" x14ac:dyDescent="0.3">
      <c r="B323" s="149"/>
      <c r="C323" s="149"/>
      <c r="D323" s="149"/>
      <c r="E323" s="9"/>
      <c r="F323" s="72"/>
      <c r="G323" s="72"/>
      <c r="H323" s="72"/>
      <c r="I323" s="72"/>
      <c r="J323" s="72"/>
      <c r="K323" s="72"/>
      <c r="L323" s="17"/>
      <c r="M323" s="17"/>
      <c r="N323" s="70">
        <f t="shared" si="16"/>
        <v>0</v>
      </c>
      <c r="O323" s="9"/>
    </row>
    <row r="324" spans="1:15" x14ac:dyDescent="0.3">
      <c r="B324" s="149"/>
      <c r="C324" s="149"/>
      <c r="D324" s="149"/>
      <c r="E324" s="9"/>
      <c r="F324" s="72"/>
      <c r="G324" s="72"/>
      <c r="H324" s="72"/>
      <c r="I324" s="72"/>
      <c r="J324" s="72"/>
      <c r="K324" s="72"/>
      <c r="L324" s="17"/>
      <c r="M324" s="17"/>
      <c r="N324" s="70">
        <f t="shared" si="16"/>
        <v>0</v>
      </c>
      <c r="O324" s="9"/>
    </row>
    <row r="325" spans="1:15" x14ac:dyDescent="0.3">
      <c r="B325" s="149"/>
      <c r="C325" s="149"/>
      <c r="D325" s="149"/>
      <c r="E325" s="9"/>
      <c r="F325" s="72"/>
      <c r="G325" s="72"/>
      <c r="H325" s="72"/>
      <c r="I325" s="72"/>
      <c r="J325" s="72"/>
      <c r="K325" s="72"/>
      <c r="L325" s="17"/>
      <c r="M325" s="17"/>
      <c r="N325" s="70">
        <f t="shared" si="16"/>
        <v>0</v>
      </c>
      <c r="O325" s="9"/>
    </row>
    <row r="326" spans="1:15" x14ac:dyDescent="0.3">
      <c r="B326" s="149"/>
      <c r="C326" s="149"/>
      <c r="D326" s="149"/>
      <c r="E326" s="68"/>
      <c r="F326" s="39"/>
      <c r="G326" s="39"/>
      <c r="H326" s="39"/>
      <c r="I326" s="39"/>
      <c r="J326" s="39"/>
      <c r="K326" s="39"/>
      <c r="L326" s="39"/>
      <c r="M326" s="39"/>
      <c r="N326" s="70">
        <f t="shared" si="16"/>
        <v>0</v>
      </c>
      <c r="O326" s="39"/>
    </row>
    <row r="327" spans="1:15" x14ac:dyDescent="0.3">
      <c r="B327" s="149"/>
      <c r="C327" s="149"/>
      <c r="D327" s="149"/>
      <c r="E327" s="68"/>
      <c r="F327" s="39"/>
      <c r="G327" s="39"/>
      <c r="H327" s="39"/>
      <c r="I327" s="39"/>
      <c r="J327" s="39"/>
      <c r="K327" s="39"/>
      <c r="L327" s="39"/>
      <c r="M327" s="39"/>
      <c r="N327" s="70">
        <f t="shared" si="16"/>
        <v>0</v>
      </c>
      <c r="O327" s="39"/>
    </row>
    <row r="328" spans="1:15" x14ac:dyDescent="0.3">
      <c r="B328" s="149"/>
      <c r="C328" s="149"/>
      <c r="D328" s="149"/>
      <c r="E328" s="68"/>
      <c r="F328" s="39"/>
      <c r="G328" s="39"/>
      <c r="H328" s="39"/>
      <c r="I328" s="39"/>
      <c r="J328" s="39"/>
      <c r="K328" s="39"/>
      <c r="L328" s="39"/>
      <c r="M328" s="39"/>
      <c r="N328" s="70">
        <f t="shared" si="16"/>
        <v>0</v>
      </c>
      <c r="O328" s="39"/>
    </row>
    <row r="329" spans="1:15" x14ac:dyDescent="0.3">
      <c r="B329" s="149"/>
      <c r="C329" s="149"/>
      <c r="D329" s="149"/>
      <c r="E329" s="68"/>
      <c r="F329" s="39"/>
      <c r="G329" s="39"/>
      <c r="H329" s="39"/>
      <c r="I329" s="39"/>
      <c r="J329" s="39"/>
      <c r="K329" s="39"/>
      <c r="L329" s="39"/>
      <c r="M329" s="39"/>
      <c r="N329" s="70">
        <f t="shared" si="16"/>
        <v>0</v>
      </c>
      <c r="O329" s="39"/>
    </row>
    <row r="330" spans="1:15" x14ac:dyDescent="0.3">
      <c r="B330" s="149"/>
      <c r="C330" s="149"/>
      <c r="D330" s="149"/>
      <c r="E330" s="68"/>
      <c r="F330" s="39"/>
      <c r="G330" s="39"/>
      <c r="H330" s="39"/>
      <c r="I330" s="39"/>
      <c r="J330" s="39"/>
      <c r="K330" s="39"/>
      <c r="L330" s="39"/>
      <c r="M330" s="39"/>
      <c r="N330" s="70">
        <f t="shared" si="16"/>
        <v>0</v>
      </c>
      <c r="O330" s="39"/>
    </row>
    <row r="331" spans="1:15" ht="14.1" customHeight="1" x14ac:dyDescent="0.3">
      <c r="B331" s="145" t="s">
        <v>29</v>
      </c>
      <c r="C331" s="145"/>
      <c r="D331" s="145"/>
      <c r="E331" s="145"/>
      <c r="F331" s="145"/>
      <c r="G331" s="145"/>
      <c r="H331" s="145"/>
      <c r="I331" s="54">
        <f t="shared" ref="I331:N331" si="17">SUM(I311:I330)</f>
        <v>0</v>
      </c>
      <c r="J331" s="54">
        <f t="shared" si="17"/>
        <v>0</v>
      </c>
      <c r="K331" s="54">
        <f t="shared" si="17"/>
        <v>0</v>
      </c>
      <c r="L331" s="54">
        <f t="shared" si="17"/>
        <v>0</v>
      </c>
      <c r="M331" s="54">
        <f t="shared" si="17"/>
        <v>0</v>
      </c>
      <c r="N331" s="54">
        <f t="shared" si="17"/>
        <v>0</v>
      </c>
      <c r="O331" s="31"/>
    </row>
    <row r="333" spans="1:15" x14ac:dyDescent="0.3">
      <c r="A333" s="34" t="s">
        <v>175</v>
      </c>
      <c r="B333" s="130" t="s">
        <v>176</v>
      </c>
      <c r="C333" s="130"/>
      <c r="D333" s="130"/>
      <c r="E333" s="130"/>
    </row>
    <row r="335" spans="1:15" ht="14.1" customHeight="1" x14ac:dyDescent="0.3">
      <c r="B335" s="15"/>
      <c r="C335" s="15"/>
      <c r="D335" s="15"/>
      <c r="E335" s="116" t="s">
        <v>140</v>
      </c>
      <c r="F335" s="116" t="s">
        <v>7</v>
      </c>
      <c r="G335" s="116" t="s">
        <v>8</v>
      </c>
      <c r="H335" s="116" t="s">
        <v>6</v>
      </c>
      <c r="I335" s="124" t="s">
        <v>142</v>
      </c>
      <c r="J335" s="124" t="s">
        <v>143</v>
      </c>
      <c r="K335" s="116" t="s">
        <v>144</v>
      </c>
      <c r="L335" s="116" t="s">
        <v>145</v>
      </c>
      <c r="M335" s="116"/>
      <c r="N335" s="116"/>
      <c r="O335" s="116"/>
    </row>
    <row r="336" spans="1:15" ht="18.149999999999999" customHeight="1" x14ac:dyDescent="0.3">
      <c r="B336" s="116" t="s">
        <v>5</v>
      </c>
      <c r="C336" s="116"/>
      <c r="D336" s="116"/>
      <c r="E336" s="116"/>
      <c r="F336" s="116"/>
      <c r="G336" s="116"/>
      <c r="H336" s="116"/>
      <c r="I336" s="124"/>
      <c r="J336" s="124"/>
      <c r="K336" s="116"/>
      <c r="L336" s="9" t="s">
        <v>6</v>
      </c>
      <c r="M336" s="9" t="s">
        <v>7</v>
      </c>
      <c r="N336" s="9" t="s">
        <v>10</v>
      </c>
      <c r="O336" s="23" t="s">
        <v>164</v>
      </c>
    </row>
    <row r="337" spans="2:15" x14ac:dyDescent="0.3">
      <c r="B337" s="116"/>
      <c r="C337" s="116"/>
      <c r="D337" s="116"/>
      <c r="E337" s="116"/>
      <c r="F337" s="65" t="s">
        <v>13</v>
      </c>
      <c r="G337" s="65" t="s">
        <v>13</v>
      </c>
      <c r="H337" s="65" t="s">
        <v>13</v>
      </c>
      <c r="I337" s="65" t="s">
        <v>15</v>
      </c>
      <c r="J337" s="65" t="s">
        <v>146</v>
      </c>
      <c r="K337" s="65" t="s">
        <v>146</v>
      </c>
      <c r="L337" s="17" t="s">
        <v>13</v>
      </c>
      <c r="M337" s="17" t="s">
        <v>13</v>
      </c>
      <c r="N337" s="17" t="s">
        <v>14</v>
      </c>
      <c r="O337" s="17" t="s">
        <v>13</v>
      </c>
    </row>
    <row r="338" spans="2:15" x14ac:dyDescent="0.3">
      <c r="B338" s="149"/>
      <c r="C338" s="149"/>
      <c r="D338" s="149"/>
      <c r="E338" s="9"/>
      <c r="F338" s="72"/>
      <c r="G338" s="72"/>
      <c r="H338" s="72"/>
      <c r="I338" s="72"/>
      <c r="J338" s="72"/>
      <c r="K338" s="72"/>
      <c r="L338" s="17"/>
      <c r="M338" s="17"/>
      <c r="N338" s="70">
        <f t="shared" ref="N338:N357" si="18">L338*M338</f>
        <v>0</v>
      </c>
      <c r="O338" s="9"/>
    </row>
    <row r="339" spans="2:15" x14ac:dyDescent="0.3">
      <c r="B339" s="149"/>
      <c r="C339" s="149"/>
      <c r="D339" s="149"/>
      <c r="E339" s="9"/>
      <c r="F339" s="72"/>
      <c r="G339" s="72"/>
      <c r="H339" s="72"/>
      <c r="I339" s="72"/>
      <c r="J339" s="72"/>
      <c r="K339" s="72"/>
      <c r="L339" s="17"/>
      <c r="M339" s="17"/>
      <c r="N339" s="70">
        <f t="shared" si="18"/>
        <v>0</v>
      </c>
      <c r="O339" s="9"/>
    </row>
    <row r="340" spans="2:15" x14ac:dyDescent="0.3">
      <c r="B340" s="149"/>
      <c r="C340" s="149"/>
      <c r="D340" s="149"/>
      <c r="E340" s="9"/>
      <c r="F340" s="72"/>
      <c r="G340" s="72"/>
      <c r="H340" s="72"/>
      <c r="I340" s="72"/>
      <c r="J340" s="72"/>
      <c r="K340" s="72"/>
      <c r="L340" s="17"/>
      <c r="M340" s="17"/>
      <c r="N340" s="70">
        <f t="shared" si="18"/>
        <v>0</v>
      </c>
      <c r="O340" s="9"/>
    </row>
    <row r="341" spans="2:15" x14ac:dyDescent="0.3">
      <c r="B341" s="149"/>
      <c r="C341" s="149"/>
      <c r="D341" s="149"/>
      <c r="E341" s="9"/>
      <c r="F341" s="72"/>
      <c r="G341" s="72"/>
      <c r="H341" s="72"/>
      <c r="I341" s="72"/>
      <c r="J341" s="72"/>
      <c r="K341" s="72"/>
      <c r="L341" s="17"/>
      <c r="M341" s="17"/>
      <c r="N341" s="70">
        <f t="shared" si="18"/>
        <v>0</v>
      </c>
      <c r="O341" s="9"/>
    </row>
    <row r="342" spans="2:15" x14ac:dyDescent="0.3">
      <c r="B342" s="149"/>
      <c r="C342" s="149"/>
      <c r="D342" s="149"/>
      <c r="E342" s="9"/>
      <c r="F342" s="72"/>
      <c r="G342" s="72"/>
      <c r="H342" s="72"/>
      <c r="I342" s="72"/>
      <c r="J342" s="72"/>
      <c r="K342" s="72"/>
      <c r="L342" s="17"/>
      <c r="M342" s="17"/>
      <c r="N342" s="70">
        <f t="shared" si="18"/>
        <v>0</v>
      </c>
      <c r="O342" s="9"/>
    </row>
    <row r="343" spans="2:15" x14ac:dyDescent="0.3">
      <c r="B343" s="149"/>
      <c r="C343" s="149"/>
      <c r="D343" s="149"/>
      <c r="E343" s="9"/>
      <c r="F343" s="72"/>
      <c r="G343" s="72"/>
      <c r="H343" s="72"/>
      <c r="I343" s="72"/>
      <c r="J343" s="72"/>
      <c r="K343" s="72"/>
      <c r="L343" s="17"/>
      <c r="M343" s="17"/>
      <c r="N343" s="70">
        <f t="shared" si="18"/>
        <v>0</v>
      </c>
      <c r="O343" s="9"/>
    </row>
    <row r="344" spans="2:15" x14ac:dyDescent="0.3">
      <c r="B344" s="149"/>
      <c r="C344" s="149"/>
      <c r="D344" s="149"/>
      <c r="E344" s="9"/>
      <c r="F344" s="72"/>
      <c r="G344" s="72"/>
      <c r="H344" s="72"/>
      <c r="I344" s="72"/>
      <c r="J344" s="72"/>
      <c r="K344" s="72"/>
      <c r="L344" s="17"/>
      <c r="M344" s="17"/>
      <c r="N344" s="70">
        <f t="shared" si="18"/>
        <v>0</v>
      </c>
      <c r="O344" s="9"/>
    </row>
    <row r="345" spans="2:15" x14ac:dyDescent="0.3">
      <c r="B345" s="149"/>
      <c r="C345" s="149"/>
      <c r="D345" s="149"/>
      <c r="E345" s="9"/>
      <c r="F345" s="72"/>
      <c r="G345" s="72"/>
      <c r="H345" s="72"/>
      <c r="I345" s="72"/>
      <c r="J345" s="72"/>
      <c r="K345" s="72"/>
      <c r="L345" s="17"/>
      <c r="M345" s="17"/>
      <c r="N345" s="70">
        <f t="shared" si="18"/>
        <v>0</v>
      </c>
      <c r="O345" s="9"/>
    </row>
    <row r="346" spans="2:15" x14ac:dyDescent="0.3">
      <c r="B346" s="149"/>
      <c r="C346" s="149"/>
      <c r="D346" s="149"/>
      <c r="E346" s="9"/>
      <c r="F346" s="72"/>
      <c r="G346" s="72"/>
      <c r="H346" s="72"/>
      <c r="I346" s="72"/>
      <c r="J346" s="72"/>
      <c r="K346" s="72"/>
      <c r="L346" s="17"/>
      <c r="M346" s="17"/>
      <c r="N346" s="70">
        <f t="shared" si="18"/>
        <v>0</v>
      </c>
      <c r="O346" s="9"/>
    </row>
    <row r="347" spans="2:15" x14ac:dyDescent="0.3">
      <c r="B347" s="149"/>
      <c r="C347" s="149"/>
      <c r="D347" s="149"/>
      <c r="E347" s="9"/>
      <c r="F347" s="72"/>
      <c r="G347" s="72"/>
      <c r="H347" s="72"/>
      <c r="I347" s="72"/>
      <c r="J347" s="72"/>
      <c r="K347" s="72"/>
      <c r="L347" s="17"/>
      <c r="M347" s="17"/>
      <c r="N347" s="70">
        <f t="shared" si="18"/>
        <v>0</v>
      </c>
      <c r="O347" s="9"/>
    </row>
    <row r="348" spans="2:15" x14ac:dyDescent="0.3">
      <c r="B348" s="149"/>
      <c r="C348" s="149"/>
      <c r="D348" s="149"/>
      <c r="E348" s="9"/>
      <c r="F348" s="72"/>
      <c r="G348" s="72"/>
      <c r="H348" s="72"/>
      <c r="I348" s="72"/>
      <c r="J348" s="72"/>
      <c r="K348" s="72"/>
      <c r="L348" s="17"/>
      <c r="M348" s="17"/>
      <c r="N348" s="70">
        <f t="shared" si="18"/>
        <v>0</v>
      </c>
      <c r="O348" s="9"/>
    </row>
    <row r="349" spans="2:15" x14ac:dyDescent="0.3">
      <c r="B349" s="149"/>
      <c r="C349" s="149"/>
      <c r="D349" s="149"/>
      <c r="E349" s="9"/>
      <c r="F349" s="72"/>
      <c r="G349" s="72"/>
      <c r="H349" s="72"/>
      <c r="I349" s="72"/>
      <c r="J349" s="72"/>
      <c r="K349" s="72"/>
      <c r="L349" s="17"/>
      <c r="M349" s="17"/>
      <c r="N349" s="70">
        <f t="shared" si="18"/>
        <v>0</v>
      </c>
      <c r="O349" s="9"/>
    </row>
    <row r="350" spans="2:15" x14ac:dyDescent="0.3">
      <c r="B350" s="149"/>
      <c r="C350" s="149"/>
      <c r="D350" s="149"/>
      <c r="E350" s="9"/>
      <c r="F350" s="72"/>
      <c r="G350" s="72"/>
      <c r="H350" s="72"/>
      <c r="I350" s="72"/>
      <c r="J350" s="72"/>
      <c r="K350" s="72"/>
      <c r="L350" s="17"/>
      <c r="M350" s="17"/>
      <c r="N350" s="70">
        <f t="shared" si="18"/>
        <v>0</v>
      </c>
      <c r="O350" s="9"/>
    </row>
    <row r="351" spans="2:15" x14ac:dyDescent="0.3">
      <c r="B351" s="149"/>
      <c r="C351" s="149"/>
      <c r="D351" s="149"/>
      <c r="E351" s="9"/>
      <c r="F351" s="72"/>
      <c r="G351" s="72"/>
      <c r="H351" s="72"/>
      <c r="I351" s="72"/>
      <c r="J351" s="72"/>
      <c r="K351" s="72"/>
      <c r="L351" s="17"/>
      <c r="M351" s="17"/>
      <c r="N351" s="70">
        <f t="shared" si="18"/>
        <v>0</v>
      </c>
      <c r="O351" s="9"/>
    </row>
    <row r="352" spans="2:15" x14ac:dyDescent="0.3">
      <c r="B352" s="149"/>
      <c r="C352" s="149"/>
      <c r="D352" s="149"/>
      <c r="E352" s="9"/>
      <c r="F352" s="72"/>
      <c r="G352" s="72"/>
      <c r="H352" s="72"/>
      <c r="I352" s="72"/>
      <c r="J352" s="72"/>
      <c r="K352" s="72"/>
      <c r="L352" s="17"/>
      <c r="M352" s="17"/>
      <c r="N352" s="70">
        <f t="shared" si="18"/>
        <v>0</v>
      </c>
      <c r="O352" s="9"/>
    </row>
    <row r="353" spans="1:30" x14ac:dyDescent="0.3">
      <c r="B353" s="149"/>
      <c r="C353" s="149"/>
      <c r="D353" s="149"/>
      <c r="E353" s="68"/>
      <c r="F353" s="39"/>
      <c r="G353" s="39"/>
      <c r="H353" s="39"/>
      <c r="I353" s="39"/>
      <c r="J353" s="39"/>
      <c r="K353" s="39"/>
      <c r="L353" s="39"/>
      <c r="M353" s="39"/>
      <c r="N353" s="70">
        <f t="shared" si="18"/>
        <v>0</v>
      </c>
      <c r="O353" s="39"/>
    </row>
    <row r="354" spans="1:30" x14ac:dyDescent="0.3">
      <c r="B354" s="149"/>
      <c r="C354" s="149"/>
      <c r="D354" s="149"/>
      <c r="E354" s="68"/>
      <c r="F354" s="39"/>
      <c r="G354" s="39"/>
      <c r="H354" s="39"/>
      <c r="I354" s="39"/>
      <c r="J354" s="39"/>
      <c r="K354" s="39"/>
      <c r="L354" s="39"/>
      <c r="M354" s="39"/>
      <c r="N354" s="70">
        <f t="shared" si="18"/>
        <v>0</v>
      </c>
      <c r="O354" s="39"/>
    </row>
    <row r="355" spans="1:30" x14ac:dyDescent="0.3">
      <c r="B355" s="149"/>
      <c r="C355" s="149"/>
      <c r="D355" s="149"/>
      <c r="E355" s="68"/>
      <c r="F355" s="39"/>
      <c r="G355" s="39"/>
      <c r="H355" s="39"/>
      <c r="I355" s="39"/>
      <c r="J355" s="39"/>
      <c r="K355" s="39"/>
      <c r="L355" s="39"/>
      <c r="M355" s="39"/>
      <c r="N355" s="70">
        <f t="shared" si="18"/>
        <v>0</v>
      </c>
      <c r="O355" s="39"/>
    </row>
    <row r="356" spans="1:30" x14ac:dyDescent="0.3">
      <c r="B356" s="149"/>
      <c r="C356" s="149"/>
      <c r="D356" s="149"/>
      <c r="E356" s="68"/>
      <c r="F356" s="39"/>
      <c r="G356" s="39"/>
      <c r="H356" s="39"/>
      <c r="I356" s="39"/>
      <c r="J356" s="39"/>
      <c r="K356" s="39"/>
      <c r="L356" s="39"/>
      <c r="M356" s="39"/>
      <c r="N356" s="70">
        <f t="shared" si="18"/>
        <v>0</v>
      </c>
      <c r="O356" s="39"/>
    </row>
    <row r="357" spans="1:30" x14ac:dyDescent="0.3">
      <c r="B357" s="149"/>
      <c r="C357" s="149"/>
      <c r="D357" s="149"/>
      <c r="E357" s="68"/>
      <c r="F357" s="39"/>
      <c r="G357" s="39"/>
      <c r="H357" s="39"/>
      <c r="I357" s="39"/>
      <c r="J357" s="39"/>
      <c r="K357" s="39"/>
      <c r="L357" s="39"/>
      <c r="M357" s="39"/>
      <c r="N357" s="70">
        <f t="shared" si="18"/>
        <v>0</v>
      </c>
      <c r="O357" s="39"/>
    </row>
    <row r="358" spans="1:30" ht="14.1" customHeight="1" x14ac:dyDescent="0.3">
      <c r="B358" s="145" t="s">
        <v>29</v>
      </c>
      <c r="C358" s="145"/>
      <c r="D358" s="145"/>
      <c r="E358" s="145"/>
      <c r="F358" s="145"/>
      <c r="G358" s="145"/>
      <c r="H358" s="145"/>
      <c r="I358" s="54">
        <f t="shared" ref="I358:N358" si="19">SUM(I338:I357)</f>
        <v>0</v>
      </c>
      <c r="J358" s="54">
        <f t="shared" si="19"/>
        <v>0</v>
      </c>
      <c r="K358" s="54">
        <f t="shared" si="19"/>
        <v>0</v>
      </c>
      <c r="L358" s="54">
        <f t="shared" si="19"/>
        <v>0</v>
      </c>
      <c r="M358" s="54">
        <f t="shared" si="19"/>
        <v>0</v>
      </c>
      <c r="N358" s="54">
        <f t="shared" si="19"/>
        <v>0</v>
      </c>
      <c r="O358" s="31"/>
    </row>
    <row r="360" spans="1:30" ht="14.1" customHeight="1" x14ac:dyDescent="0.3">
      <c r="A360" s="34" t="s">
        <v>177</v>
      </c>
      <c r="B360" s="143" t="s">
        <v>178</v>
      </c>
      <c r="C360" s="143"/>
      <c r="D360" s="44"/>
    </row>
    <row r="362" spans="1:30" ht="14.1" customHeight="1" x14ac:dyDescent="0.3">
      <c r="B362" s="15"/>
      <c r="C362" s="15"/>
      <c r="D362" s="15"/>
      <c r="E362" s="116" t="s">
        <v>72</v>
      </c>
      <c r="F362" s="152" t="s">
        <v>140</v>
      </c>
      <c r="G362" s="152" t="s">
        <v>179</v>
      </c>
      <c r="H362" s="152" t="s">
        <v>180</v>
      </c>
      <c r="I362" s="152" t="s">
        <v>181</v>
      </c>
      <c r="J362" s="152" t="s">
        <v>182</v>
      </c>
      <c r="K362" s="152" t="s">
        <v>183</v>
      </c>
      <c r="L362" s="152"/>
      <c r="M362" s="152"/>
      <c r="N362" s="152"/>
      <c r="O362" s="152" t="s">
        <v>184</v>
      </c>
      <c r="P362" s="152"/>
      <c r="Q362" s="152"/>
      <c r="R362" s="152"/>
      <c r="S362" s="117" t="s">
        <v>185</v>
      </c>
      <c r="T362" s="117"/>
      <c r="U362" s="117"/>
      <c r="V362" s="117"/>
      <c r="W362" s="117"/>
      <c r="X362" s="117" t="s">
        <v>186</v>
      </c>
      <c r="Y362" s="117"/>
      <c r="Z362" s="116" t="s">
        <v>187</v>
      </c>
      <c r="AA362" s="116"/>
      <c r="AB362" s="116" t="s">
        <v>145</v>
      </c>
      <c r="AC362" s="116"/>
      <c r="AD362" s="116"/>
    </row>
    <row r="363" spans="1:30" ht="14.1" customHeight="1" x14ac:dyDescent="0.3">
      <c r="B363" s="116" t="s">
        <v>5</v>
      </c>
      <c r="C363" s="116"/>
      <c r="D363" s="116"/>
      <c r="E363" s="116"/>
      <c r="F363" s="152"/>
      <c r="G363" s="152"/>
      <c r="H363" s="152"/>
      <c r="I363" s="152"/>
      <c r="J363" s="152"/>
      <c r="K363" s="73" t="s">
        <v>6</v>
      </c>
      <c r="L363" s="73" t="s">
        <v>10</v>
      </c>
      <c r="M363" s="23" t="s">
        <v>142</v>
      </c>
      <c r="N363" s="73" t="s">
        <v>188</v>
      </c>
      <c r="O363" s="152" t="s">
        <v>189</v>
      </c>
      <c r="P363" s="73" t="s">
        <v>10</v>
      </c>
      <c r="Q363" s="23" t="s">
        <v>142</v>
      </c>
      <c r="R363" s="73" t="s">
        <v>115</v>
      </c>
      <c r="S363" s="9" t="s">
        <v>7</v>
      </c>
      <c r="T363" s="9" t="s">
        <v>8</v>
      </c>
      <c r="U363" s="9" t="s">
        <v>6</v>
      </c>
      <c r="V363" s="9" t="s">
        <v>10</v>
      </c>
      <c r="W363" s="23" t="s">
        <v>142</v>
      </c>
      <c r="X363" s="9" t="s">
        <v>7</v>
      </c>
      <c r="Y363" s="9" t="s">
        <v>8</v>
      </c>
      <c r="Z363" s="74" t="s">
        <v>143</v>
      </c>
      <c r="AA363" s="75" t="s">
        <v>144</v>
      </c>
      <c r="AB363" s="9" t="s">
        <v>8</v>
      </c>
      <c r="AC363" s="9" t="s">
        <v>6</v>
      </c>
      <c r="AD363" s="9" t="s">
        <v>10</v>
      </c>
    </row>
    <row r="364" spans="1:30" ht="14.1" customHeight="1" x14ac:dyDescent="0.3">
      <c r="B364" s="116"/>
      <c r="C364" s="116"/>
      <c r="D364" s="116"/>
      <c r="E364" s="116"/>
      <c r="F364" s="152"/>
      <c r="G364" s="152"/>
      <c r="H364" s="152"/>
      <c r="I364" s="152"/>
      <c r="J364" s="152"/>
      <c r="K364" s="76" t="s">
        <v>13</v>
      </c>
      <c r="L364" s="76" t="s">
        <v>14</v>
      </c>
      <c r="M364" s="77" t="s">
        <v>15</v>
      </c>
      <c r="N364" s="17" t="s">
        <v>13</v>
      </c>
      <c r="O364" s="152"/>
      <c r="P364" s="76" t="s">
        <v>14</v>
      </c>
      <c r="Q364" s="77" t="s">
        <v>15</v>
      </c>
      <c r="R364" s="76" t="s">
        <v>117</v>
      </c>
      <c r="S364" s="17" t="s">
        <v>13</v>
      </c>
      <c r="T364" s="17" t="s">
        <v>13</v>
      </c>
      <c r="U364" s="17" t="s">
        <v>13</v>
      </c>
      <c r="V364" s="17" t="s">
        <v>14</v>
      </c>
      <c r="W364" s="77" t="s">
        <v>15</v>
      </c>
      <c r="X364" s="17" t="s">
        <v>13</v>
      </c>
      <c r="Y364" s="17" t="s">
        <v>13</v>
      </c>
      <c r="Z364" s="17" t="s">
        <v>146</v>
      </c>
      <c r="AA364" s="69" t="s">
        <v>146</v>
      </c>
      <c r="AB364" s="17" t="s">
        <v>190</v>
      </c>
      <c r="AC364" s="17" t="s">
        <v>190</v>
      </c>
      <c r="AD364" s="17" t="s">
        <v>14</v>
      </c>
    </row>
    <row r="365" spans="1:30" ht="14.1" customHeight="1" x14ac:dyDescent="0.3">
      <c r="B365" s="116"/>
      <c r="C365" s="116"/>
      <c r="D365" s="116"/>
      <c r="E365" s="9"/>
      <c r="F365" s="68"/>
      <c r="G365" s="78"/>
      <c r="H365" s="78"/>
      <c r="I365" s="78"/>
      <c r="J365" s="78"/>
      <c r="K365" s="78"/>
      <c r="L365" s="78"/>
      <c r="M365" s="78"/>
      <c r="N365" s="78"/>
      <c r="O365" s="79"/>
      <c r="P365" s="79"/>
      <c r="Q365" s="79"/>
      <c r="R365" s="79"/>
      <c r="S365" s="63"/>
      <c r="T365" s="17"/>
      <c r="U365" s="17"/>
      <c r="V365" s="17"/>
      <c r="W365" s="9"/>
      <c r="X365" s="17"/>
      <c r="Y365" s="17"/>
      <c r="Z365" s="9"/>
      <c r="AA365" s="4"/>
      <c r="AB365" s="17"/>
      <c r="AC365" s="17"/>
      <c r="AD365" s="17"/>
    </row>
    <row r="366" spans="1:30" ht="14.1" customHeight="1" x14ac:dyDescent="0.3">
      <c r="B366" s="116"/>
      <c r="C366" s="116"/>
      <c r="D366" s="116"/>
      <c r="E366" s="68"/>
      <c r="F366" s="80"/>
      <c r="G366" s="78"/>
      <c r="H366" s="78"/>
      <c r="I366" s="78"/>
      <c r="J366" s="78"/>
      <c r="K366" s="78"/>
      <c r="L366" s="78"/>
      <c r="M366" s="78"/>
      <c r="N366" s="78"/>
      <c r="O366" s="79"/>
      <c r="P366" s="79"/>
      <c r="Q366" s="79"/>
      <c r="R366" s="79"/>
      <c r="S366" s="63"/>
      <c r="T366" s="39"/>
      <c r="U366" s="39"/>
      <c r="V366" s="39"/>
      <c r="W366" s="39"/>
      <c r="X366" s="39"/>
      <c r="Y366" s="39"/>
      <c r="Z366" s="39"/>
      <c r="AA366" s="71"/>
      <c r="AB366" s="39"/>
      <c r="AC366" s="39"/>
      <c r="AD366" s="39"/>
    </row>
    <row r="367" spans="1:30" ht="14.1" customHeight="1" x14ac:dyDescent="0.3">
      <c r="B367" s="116"/>
      <c r="C367" s="116"/>
      <c r="D367" s="116"/>
      <c r="E367" s="68"/>
      <c r="F367" s="80"/>
      <c r="G367" s="78"/>
      <c r="H367" s="78"/>
      <c r="I367" s="78"/>
      <c r="J367" s="78"/>
      <c r="K367" s="78"/>
      <c r="L367" s="78"/>
      <c r="M367" s="78"/>
      <c r="N367" s="78"/>
      <c r="O367" s="79"/>
      <c r="P367" s="79"/>
      <c r="Q367" s="79"/>
      <c r="R367" s="79"/>
      <c r="S367" s="63"/>
      <c r="T367" s="39"/>
      <c r="U367" s="39"/>
      <c r="V367" s="39"/>
      <c r="W367" s="39"/>
      <c r="X367" s="39"/>
      <c r="Y367" s="39"/>
      <c r="Z367" s="39"/>
      <c r="AA367" s="71"/>
      <c r="AB367" s="39"/>
      <c r="AC367" s="39"/>
      <c r="AD367" s="39"/>
    </row>
    <row r="368" spans="1:30" ht="14.1" customHeight="1" x14ac:dyDescent="0.3">
      <c r="B368" s="116"/>
      <c r="C368" s="116"/>
      <c r="D368" s="116"/>
      <c r="E368" s="68"/>
      <c r="F368" s="80"/>
      <c r="G368" s="78"/>
      <c r="H368" s="78"/>
      <c r="I368" s="78"/>
      <c r="J368" s="78"/>
      <c r="K368" s="78"/>
      <c r="L368" s="78"/>
      <c r="M368" s="78"/>
      <c r="N368" s="78"/>
      <c r="O368" s="79"/>
      <c r="P368" s="79"/>
      <c r="Q368" s="79"/>
      <c r="R368" s="79"/>
      <c r="S368" s="54"/>
      <c r="T368" s="54"/>
      <c r="U368" s="54"/>
      <c r="V368" s="54">
        <f>SUM(V365:V367)</f>
        <v>0</v>
      </c>
      <c r="W368" s="54">
        <f>SUM(W365:W367)</f>
        <v>0</v>
      </c>
    </row>
    <row r="369" spans="1:15" x14ac:dyDescent="0.3">
      <c r="E369" s="15"/>
      <c r="F369" s="22"/>
      <c r="G369" s="22"/>
      <c r="H369" s="22"/>
      <c r="I369" s="22"/>
      <c r="J369" s="22"/>
      <c r="K369" s="22"/>
      <c r="L369" s="21"/>
      <c r="M369" s="21"/>
      <c r="N369" s="41"/>
      <c r="O369" s="15"/>
    </row>
    <row r="370" spans="1:15" x14ac:dyDescent="0.3">
      <c r="A370" s="34" t="s">
        <v>191</v>
      </c>
      <c r="B370" s="130" t="s">
        <v>192</v>
      </c>
      <c r="C370" s="130"/>
      <c r="D370" s="130"/>
      <c r="E370" s="130"/>
    </row>
    <row r="372" spans="1:15" ht="14.1" customHeight="1" x14ac:dyDescent="0.3">
      <c r="B372" s="15"/>
      <c r="C372" s="15"/>
      <c r="D372" s="15"/>
      <c r="E372" s="116" t="s">
        <v>140</v>
      </c>
      <c r="F372" s="116" t="s">
        <v>7</v>
      </c>
      <c r="G372" s="116" t="s">
        <v>8</v>
      </c>
      <c r="H372" s="116" t="s">
        <v>6</v>
      </c>
      <c r="I372" s="124" t="s">
        <v>142</v>
      </c>
      <c r="J372" s="124" t="s">
        <v>143</v>
      </c>
      <c r="K372" s="116" t="s">
        <v>144</v>
      </c>
      <c r="L372" s="116" t="s">
        <v>145</v>
      </c>
      <c r="M372" s="116"/>
      <c r="N372" s="116"/>
      <c r="O372" s="116"/>
    </row>
    <row r="373" spans="1:15" ht="18.149999999999999" customHeight="1" x14ac:dyDescent="0.3">
      <c r="B373" s="116" t="s">
        <v>5</v>
      </c>
      <c r="C373" s="116"/>
      <c r="D373" s="116"/>
      <c r="E373" s="116"/>
      <c r="F373" s="116"/>
      <c r="G373" s="116"/>
      <c r="H373" s="116"/>
      <c r="I373" s="124"/>
      <c r="J373" s="124"/>
      <c r="K373" s="116"/>
      <c r="L373" s="9" t="s">
        <v>6</v>
      </c>
      <c r="M373" s="9" t="s">
        <v>7</v>
      </c>
      <c r="N373" s="9" t="s">
        <v>10</v>
      </c>
      <c r="O373" s="23" t="s">
        <v>164</v>
      </c>
    </row>
    <row r="374" spans="1:15" x14ac:dyDescent="0.3">
      <c r="B374" s="116"/>
      <c r="C374" s="116"/>
      <c r="D374" s="116"/>
      <c r="E374" s="116"/>
      <c r="F374" s="65" t="s">
        <v>13</v>
      </c>
      <c r="G374" s="65" t="s">
        <v>13</v>
      </c>
      <c r="H374" s="65" t="s">
        <v>13</v>
      </c>
      <c r="I374" s="65" t="s">
        <v>15</v>
      </c>
      <c r="J374" s="65" t="s">
        <v>146</v>
      </c>
      <c r="K374" s="65" t="s">
        <v>146</v>
      </c>
      <c r="L374" s="17" t="s">
        <v>13</v>
      </c>
      <c r="M374" s="17" t="s">
        <v>13</v>
      </c>
      <c r="N374" s="17" t="s">
        <v>14</v>
      </c>
      <c r="O374" s="17" t="s">
        <v>13</v>
      </c>
    </row>
    <row r="375" spans="1:15" x14ac:dyDescent="0.3">
      <c r="B375" s="149"/>
      <c r="C375" s="149"/>
      <c r="D375" s="149"/>
      <c r="E375" s="9"/>
      <c r="F375" s="72"/>
      <c r="G375" s="72"/>
      <c r="H375" s="72"/>
      <c r="I375" s="72"/>
      <c r="J375" s="72"/>
      <c r="K375" s="72"/>
      <c r="L375" s="17"/>
      <c r="M375" s="17"/>
      <c r="N375" s="70">
        <f t="shared" ref="N375:N394" si="20">L375*M375</f>
        <v>0</v>
      </c>
      <c r="O375" s="9"/>
    </row>
    <row r="376" spans="1:15" x14ac:dyDescent="0.3">
      <c r="B376" s="149"/>
      <c r="C376" s="149"/>
      <c r="D376" s="149"/>
      <c r="E376" s="9"/>
      <c r="F376" s="72"/>
      <c r="G376" s="72"/>
      <c r="H376" s="72"/>
      <c r="I376" s="72"/>
      <c r="J376" s="72"/>
      <c r="K376" s="72"/>
      <c r="L376" s="17"/>
      <c r="M376" s="17"/>
      <c r="N376" s="70">
        <f t="shared" si="20"/>
        <v>0</v>
      </c>
      <c r="O376" s="9"/>
    </row>
    <row r="377" spans="1:15" x14ac:dyDescent="0.3">
      <c r="B377" s="149"/>
      <c r="C377" s="149"/>
      <c r="D377" s="149"/>
      <c r="E377" s="9"/>
      <c r="F377" s="72"/>
      <c r="G377" s="72"/>
      <c r="H377" s="72"/>
      <c r="I377" s="72"/>
      <c r="J377" s="72"/>
      <c r="K377" s="72"/>
      <c r="L377" s="17"/>
      <c r="M377" s="17"/>
      <c r="N377" s="70">
        <f t="shared" si="20"/>
        <v>0</v>
      </c>
      <c r="O377" s="9"/>
    </row>
    <row r="378" spans="1:15" x14ac:dyDescent="0.3">
      <c r="B378" s="149"/>
      <c r="C378" s="149"/>
      <c r="D378" s="149"/>
      <c r="E378" s="9"/>
      <c r="F378" s="72"/>
      <c r="G378" s="72"/>
      <c r="H378" s="72"/>
      <c r="I378" s="72"/>
      <c r="J378" s="72"/>
      <c r="K378" s="72"/>
      <c r="L378" s="17"/>
      <c r="M378" s="17"/>
      <c r="N378" s="70">
        <f t="shared" si="20"/>
        <v>0</v>
      </c>
      <c r="O378" s="9"/>
    </row>
    <row r="379" spans="1:15" x14ac:dyDescent="0.3">
      <c r="B379" s="149"/>
      <c r="C379" s="149"/>
      <c r="D379" s="149"/>
      <c r="E379" s="9"/>
      <c r="F379" s="72"/>
      <c r="G379" s="72"/>
      <c r="H379" s="72"/>
      <c r="I379" s="72"/>
      <c r="J379" s="72"/>
      <c r="K379" s="72"/>
      <c r="L379" s="17"/>
      <c r="M379" s="17"/>
      <c r="N379" s="70">
        <f t="shared" si="20"/>
        <v>0</v>
      </c>
      <c r="O379" s="9"/>
    </row>
    <row r="380" spans="1:15" x14ac:dyDescent="0.3">
      <c r="B380" s="149"/>
      <c r="C380" s="149"/>
      <c r="D380" s="149"/>
      <c r="E380" s="9"/>
      <c r="F380" s="72"/>
      <c r="G380" s="72"/>
      <c r="H380" s="72"/>
      <c r="I380" s="72"/>
      <c r="J380" s="72"/>
      <c r="K380" s="72"/>
      <c r="L380" s="17"/>
      <c r="M380" s="17"/>
      <c r="N380" s="70">
        <f t="shared" si="20"/>
        <v>0</v>
      </c>
      <c r="O380" s="9"/>
    </row>
    <row r="381" spans="1:15" x14ac:dyDescent="0.3">
      <c r="B381" s="149"/>
      <c r="C381" s="149"/>
      <c r="D381" s="149"/>
      <c r="E381" s="9"/>
      <c r="F381" s="72"/>
      <c r="G381" s="72"/>
      <c r="H381" s="72"/>
      <c r="I381" s="72"/>
      <c r="J381" s="72"/>
      <c r="K381" s="72"/>
      <c r="L381" s="17"/>
      <c r="M381" s="17"/>
      <c r="N381" s="70">
        <f t="shared" si="20"/>
        <v>0</v>
      </c>
      <c r="O381" s="9"/>
    </row>
    <row r="382" spans="1:15" x14ac:dyDescent="0.3">
      <c r="B382" s="149"/>
      <c r="C382" s="149"/>
      <c r="D382" s="149"/>
      <c r="E382" s="9"/>
      <c r="F382" s="72"/>
      <c r="G382" s="72"/>
      <c r="H382" s="72"/>
      <c r="I382" s="72"/>
      <c r="J382" s="72"/>
      <c r="K382" s="72"/>
      <c r="L382" s="17"/>
      <c r="M382" s="17"/>
      <c r="N382" s="70">
        <f t="shared" si="20"/>
        <v>0</v>
      </c>
      <c r="O382" s="9"/>
    </row>
    <row r="383" spans="1:15" x14ac:dyDescent="0.3">
      <c r="B383" s="149"/>
      <c r="C383" s="149"/>
      <c r="D383" s="149"/>
      <c r="E383" s="9"/>
      <c r="F383" s="72"/>
      <c r="G383" s="72"/>
      <c r="H383" s="72"/>
      <c r="I383" s="72"/>
      <c r="J383" s="72"/>
      <c r="K383" s="72"/>
      <c r="L383" s="17"/>
      <c r="M383" s="17"/>
      <c r="N383" s="70">
        <f t="shared" si="20"/>
        <v>0</v>
      </c>
      <c r="O383" s="9"/>
    </row>
    <row r="384" spans="1:15" x14ac:dyDescent="0.3">
      <c r="B384" s="149"/>
      <c r="C384" s="149"/>
      <c r="D384" s="149"/>
      <c r="E384" s="9"/>
      <c r="F384" s="72"/>
      <c r="G384" s="72"/>
      <c r="H384" s="72"/>
      <c r="I384" s="72"/>
      <c r="J384" s="72"/>
      <c r="K384" s="72"/>
      <c r="L384" s="17"/>
      <c r="M384" s="17"/>
      <c r="N384" s="70">
        <f t="shared" si="20"/>
        <v>0</v>
      </c>
      <c r="O384" s="9"/>
    </row>
    <row r="385" spans="1:15" x14ac:dyDescent="0.3">
      <c r="B385" s="149"/>
      <c r="C385" s="149"/>
      <c r="D385" s="149"/>
      <c r="E385" s="9"/>
      <c r="F385" s="72"/>
      <c r="G385" s="72"/>
      <c r="H385" s="72"/>
      <c r="I385" s="72"/>
      <c r="J385" s="72"/>
      <c r="K385" s="72"/>
      <c r="L385" s="17"/>
      <c r="M385" s="17"/>
      <c r="N385" s="70">
        <f t="shared" si="20"/>
        <v>0</v>
      </c>
      <c r="O385" s="9"/>
    </row>
    <row r="386" spans="1:15" x14ac:dyDescent="0.3">
      <c r="B386" s="149"/>
      <c r="C386" s="149"/>
      <c r="D386" s="149"/>
      <c r="E386" s="9"/>
      <c r="F386" s="72"/>
      <c r="G386" s="72"/>
      <c r="H386" s="72"/>
      <c r="I386" s="72"/>
      <c r="J386" s="72"/>
      <c r="K386" s="72"/>
      <c r="L386" s="17"/>
      <c r="M386" s="17"/>
      <c r="N386" s="70">
        <f t="shared" si="20"/>
        <v>0</v>
      </c>
      <c r="O386" s="9"/>
    </row>
    <row r="387" spans="1:15" x14ac:dyDescent="0.3">
      <c r="B387" s="149"/>
      <c r="C387" s="149"/>
      <c r="D387" s="149"/>
      <c r="E387" s="9"/>
      <c r="F387" s="72"/>
      <c r="G387" s="72"/>
      <c r="H387" s="72"/>
      <c r="I387" s="72"/>
      <c r="J387" s="72"/>
      <c r="K387" s="72"/>
      <c r="L387" s="17"/>
      <c r="M387" s="17"/>
      <c r="N387" s="70">
        <f t="shared" si="20"/>
        <v>0</v>
      </c>
      <c r="O387" s="9"/>
    </row>
    <row r="388" spans="1:15" x14ac:dyDescent="0.3">
      <c r="B388" s="149"/>
      <c r="C388" s="149"/>
      <c r="D388" s="149"/>
      <c r="E388" s="9"/>
      <c r="F388" s="72"/>
      <c r="G388" s="72"/>
      <c r="H388" s="72"/>
      <c r="I388" s="72"/>
      <c r="J388" s="72"/>
      <c r="K388" s="72"/>
      <c r="L388" s="17"/>
      <c r="M388" s="17"/>
      <c r="N388" s="70">
        <f t="shared" si="20"/>
        <v>0</v>
      </c>
      <c r="O388" s="9"/>
    </row>
    <row r="389" spans="1:15" x14ac:dyDescent="0.3">
      <c r="B389" s="149"/>
      <c r="C389" s="149"/>
      <c r="D389" s="149"/>
      <c r="E389" s="9"/>
      <c r="F389" s="72"/>
      <c r="G389" s="72"/>
      <c r="H389" s="72"/>
      <c r="I389" s="72"/>
      <c r="J389" s="72"/>
      <c r="K389" s="72"/>
      <c r="L389" s="17"/>
      <c r="M389" s="17"/>
      <c r="N389" s="70">
        <f t="shared" si="20"/>
        <v>0</v>
      </c>
      <c r="O389" s="9"/>
    </row>
    <row r="390" spans="1:15" x14ac:dyDescent="0.3">
      <c r="B390" s="149"/>
      <c r="C390" s="149"/>
      <c r="D390" s="149"/>
      <c r="E390" s="68"/>
      <c r="F390" s="39"/>
      <c r="G390" s="39"/>
      <c r="H390" s="39"/>
      <c r="I390" s="39"/>
      <c r="J390" s="39"/>
      <c r="K390" s="39"/>
      <c r="L390" s="39"/>
      <c r="M390" s="39"/>
      <c r="N390" s="70">
        <f t="shared" si="20"/>
        <v>0</v>
      </c>
      <c r="O390" s="39"/>
    </row>
    <row r="391" spans="1:15" x14ac:dyDescent="0.3">
      <c r="B391" s="149"/>
      <c r="C391" s="149"/>
      <c r="D391" s="149"/>
      <c r="E391" s="68"/>
      <c r="F391" s="39"/>
      <c r="G391" s="39"/>
      <c r="H391" s="39"/>
      <c r="I391" s="39"/>
      <c r="J391" s="39"/>
      <c r="K391" s="39"/>
      <c r="L391" s="39"/>
      <c r="M391" s="39"/>
      <c r="N391" s="70">
        <f t="shared" si="20"/>
        <v>0</v>
      </c>
      <c r="O391" s="39"/>
    </row>
    <row r="392" spans="1:15" x14ac:dyDescent="0.3">
      <c r="B392" s="149"/>
      <c r="C392" s="149"/>
      <c r="D392" s="149"/>
      <c r="E392" s="68"/>
      <c r="F392" s="39"/>
      <c r="G392" s="39"/>
      <c r="H392" s="39"/>
      <c r="I392" s="39"/>
      <c r="J392" s="39"/>
      <c r="K392" s="39"/>
      <c r="L392" s="39"/>
      <c r="M392" s="39"/>
      <c r="N392" s="70">
        <f t="shared" si="20"/>
        <v>0</v>
      </c>
      <c r="O392" s="39"/>
    </row>
    <row r="393" spans="1:15" x14ac:dyDescent="0.3">
      <c r="B393" s="149"/>
      <c r="C393" s="149"/>
      <c r="D393" s="149"/>
      <c r="E393" s="68"/>
      <c r="F393" s="39"/>
      <c r="G393" s="39"/>
      <c r="H393" s="39"/>
      <c r="I393" s="39"/>
      <c r="J393" s="39"/>
      <c r="K393" s="39"/>
      <c r="L393" s="39"/>
      <c r="M393" s="39"/>
      <c r="N393" s="70">
        <f t="shared" si="20"/>
        <v>0</v>
      </c>
      <c r="O393" s="39"/>
    </row>
    <row r="394" spans="1:15" x14ac:dyDescent="0.3">
      <c r="B394" s="149"/>
      <c r="C394" s="149"/>
      <c r="D394" s="149"/>
      <c r="E394" s="68"/>
      <c r="F394" s="39"/>
      <c r="G394" s="39"/>
      <c r="H394" s="39"/>
      <c r="I394" s="39"/>
      <c r="J394" s="39"/>
      <c r="K394" s="39"/>
      <c r="L394" s="39"/>
      <c r="M394" s="39"/>
      <c r="N394" s="70">
        <f t="shared" si="20"/>
        <v>0</v>
      </c>
      <c r="O394" s="39"/>
    </row>
    <row r="395" spans="1:15" ht="14.1" customHeight="1" x14ac:dyDescent="0.3">
      <c r="B395" s="145" t="s">
        <v>29</v>
      </c>
      <c r="C395" s="145"/>
      <c r="D395" s="145"/>
      <c r="E395" s="145"/>
      <c r="F395" s="145"/>
      <c r="G395" s="145"/>
      <c r="H395" s="145"/>
      <c r="I395" s="54">
        <f t="shared" ref="I395:N395" si="21">SUM(I375:I394)</f>
        <v>0</v>
      </c>
      <c r="J395" s="54">
        <f t="shared" si="21"/>
        <v>0</v>
      </c>
      <c r="K395" s="54">
        <f t="shared" si="21"/>
        <v>0</v>
      </c>
      <c r="L395" s="54">
        <f t="shared" si="21"/>
        <v>0</v>
      </c>
      <c r="M395" s="54">
        <f t="shared" si="21"/>
        <v>0</v>
      </c>
      <c r="N395" s="54">
        <f t="shared" si="21"/>
        <v>0</v>
      </c>
      <c r="O395" s="31"/>
    </row>
    <row r="397" spans="1:15" x14ac:dyDescent="0.3">
      <c r="A397" s="34" t="s">
        <v>193</v>
      </c>
      <c r="B397" s="130" t="s">
        <v>194</v>
      </c>
      <c r="C397" s="130"/>
      <c r="D397" s="130"/>
      <c r="E397" s="130"/>
    </row>
    <row r="399" spans="1:15" ht="14.1" customHeight="1" x14ac:dyDescent="0.3">
      <c r="B399" s="15"/>
      <c r="C399" s="15"/>
      <c r="D399" s="15"/>
      <c r="E399" s="116" t="s">
        <v>140</v>
      </c>
      <c r="F399" s="116" t="s">
        <v>7</v>
      </c>
      <c r="G399" s="116" t="s">
        <v>8</v>
      </c>
      <c r="H399" s="116" t="s">
        <v>6</v>
      </c>
      <c r="I399" s="124" t="s">
        <v>142</v>
      </c>
      <c r="J399" s="124" t="s">
        <v>143</v>
      </c>
      <c r="K399" s="116" t="s">
        <v>144</v>
      </c>
      <c r="L399" s="116" t="s">
        <v>145</v>
      </c>
      <c r="M399" s="116"/>
      <c r="N399" s="116"/>
      <c r="O399" s="116"/>
    </row>
    <row r="400" spans="1:15" ht="18.149999999999999" customHeight="1" x14ac:dyDescent="0.3">
      <c r="B400" s="116" t="s">
        <v>5</v>
      </c>
      <c r="C400" s="116"/>
      <c r="D400" s="116"/>
      <c r="E400" s="116"/>
      <c r="F400" s="116"/>
      <c r="G400" s="116"/>
      <c r="H400" s="116"/>
      <c r="I400" s="124"/>
      <c r="J400" s="124"/>
      <c r="K400" s="116"/>
      <c r="L400" s="9" t="s">
        <v>6</v>
      </c>
      <c r="M400" s="9" t="s">
        <v>7</v>
      </c>
      <c r="N400" s="9" t="s">
        <v>10</v>
      </c>
      <c r="O400" s="23" t="s">
        <v>164</v>
      </c>
    </row>
    <row r="401" spans="2:15" x14ac:dyDescent="0.3">
      <c r="B401" s="116"/>
      <c r="C401" s="116"/>
      <c r="D401" s="116"/>
      <c r="E401" s="116"/>
      <c r="F401" s="65" t="s">
        <v>13</v>
      </c>
      <c r="G401" s="65" t="s">
        <v>13</v>
      </c>
      <c r="H401" s="65" t="s">
        <v>13</v>
      </c>
      <c r="I401" s="65" t="s">
        <v>15</v>
      </c>
      <c r="J401" s="65" t="s">
        <v>146</v>
      </c>
      <c r="K401" s="65" t="s">
        <v>146</v>
      </c>
      <c r="L401" s="17" t="s">
        <v>13</v>
      </c>
      <c r="M401" s="17" t="s">
        <v>13</v>
      </c>
      <c r="N401" s="17" t="s">
        <v>14</v>
      </c>
      <c r="O401" s="17" t="s">
        <v>13</v>
      </c>
    </row>
    <row r="402" spans="2:15" x14ac:dyDescent="0.3">
      <c r="B402" s="149"/>
      <c r="C402" s="149"/>
      <c r="D402" s="149"/>
      <c r="E402" s="9"/>
      <c r="F402" s="72"/>
      <c r="G402" s="72"/>
      <c r="H402" s="72"/>
      <c r="I402" s="72"/>
      <c r="J402" s="72"/>
      <c r="K402" s="72"/>
      <c r="L402" s="17"/>
      <c r="M402" s="17"/>
      <c r="N402" s="70">
        <f t="shared" ref="N402:N421" si="22">L402*M402</f>
        <v>0</v>
      </c>
      <c r="O402" s="9"/>
    </row>
    <row r="403" spans="2:15" x14ac:dyDescent="0.3">
      <c r="B403" s="149"/>
      <c r="C403" s="149"/>
      <c r="D403" s="149"/>
      <c r="E403" s="9"/>
      <c r="F403" s="72"/>
      <c r="G403" s="72"/>
      <c r="H403" s="72"/>
      <c r="I403" s="72"/>
      <c r="J403" s="72"/>
      <c r="K403" s="72"/>
      <c r="L403" s="17"/>
      <c r="M403" s="17"/>
      <c r="N403" s="70">
        <f t="shared" si="22"/>
        <v>0</v>
      </c>
      <c r="O403" s="9"/>
    </row>
    <row r="404" spans="2:15" x14ac:dyDescent="0.3">
      <c r="B404" s="149"/>
      <c r="C404" s="149"/>
      <c r="D404" s="149"/>
      <c r="E404" s="9"/>
      <c r="F404" s="72"/>
      <c r="G404" s="72"/>
      <c r="H404" s="72"/>
      <c r="I404" s="72"/>
      <c r="J404" s="72"/>
      <c r="K404" s="72"/>
      <c r="L404" s="17"/>
      <c r="M404" s="17"/>
      <c r="N404" s="70">
        <f t="shared" si="22"/>
        <v>0</v>
      </c>
      <c r="O404" s="9"/>
    </row>
    <row r="405" spans="2:15" x14ac:dyDescent="0.3">
      <c r="B405" s="149"/>
      <c r="C405" s="149"/>
      <c r="D405" s="149"/>
      <c r="E405" s="9"/>
      <c r="F405" s="72"/>
      <c r="G405" s="72"/>
      <c r="H405" s="72"/>
      <c r="I405" s="72"/>
      <c r="J405" s="72"/>
      <c r="K405" s="72"/>
      <c r="L405" s="17"/>
      <c r="M405" s="17"/>
      <c r="N405" s="70">
        <f t="shared" si="22"/>
        <v>0</v>
      </c>
      <c r="O405" s="9"/>
    </row>
    <row r="406" spans="2:15" x14ac:dyDescent="0.3">
      <c r="B406" s="149"/>
      <c r="C406" s="149"/>
      <c r="D406" s="149"/>
      <c r="E406" s="9"/>
      <c r="F406" s="72"/>
      <c r="G406" s="72"/>
      <c r="H406" s="72"/>
      <c r="I406" s="72"/>
      <c r="J406" s="72"/>
      <c r="K406" s="72"/>
      <c r="L406" s="17"/>
      <c r="M406" s="17"/>
      <c r="N406" s="70">
        <f t="shared" si="22"/>
        <v>0</v>
      </c>
      <c r="O406" s="9"/>
    </row>
    <row r="407" spans="2:15" x14ac:dyDescent="0.3">
      <c r="B407" s="149"/>
      <c r="C407" s="149"/>
      <c r="D407" s="149"/>
      <c r="E407" s="9"/>
      <c r="F407" s="72"/>
      <c r="G407" s="72"/>
      <c r="H407" s="72"/>
      <c r="I407" s="72"/>
      <c r="J407" s="72"/>
      <c r="K407" s="72"/>
      <c r="L407" s="17"/>
      <c r="M407" s="17"/>
      <c r="N407" s="70">
        <f t="shared" si="22"/>
        <v>0</v>
      </c>
      <c r="O407" s="9"/>
    </row>
    <row r="408" spans="2:15" x14ac:dyDescent="0.3">
      <c r="B408" s="149"/>
      <c r="C408" s="149"/>
      <c r="D408" s="149"/>
      <c r="E408" s="9"/>
      <c r="F408" s="72"/>
      <c r="G408" s="72"/>
      <c r="H408" s="72"/>
      <c r="I408" s="72"/>
      <c r="J408" s="72"/>
      <c r="K408" s="72"/>
      <c r="L408" s="17"/>
      <c r="M408" s="17"/>
      <c r="N408" s="70">
        <f t="shared" si="22"/>
        <v>0</v>
      </c>
      <c r="O408" s="9"/>
    </row>
    <row r="409" spans="2:15" x14ac:dyDescent="0.3">
      <c r="B409" s="149"/>
      <c r="C409" s="149"/>
      <c r="D409" s="149"/>
      <c r="E409" s="9"/>
      <c r="F409" s="72"/>
      <c r="G409" s="72"/>
      <c r="H409" s="72"/>
      <c r="I409" s="72"/>
      <c r="J409" s="72"/>
      <c r="K409" s="72"/>
      <c r="L409" s="17"/>
      <c r="M409" s="17"/>
      <c r="N409" s="70">
        <f t="shared" si="22"/>
        <v>0</v>
      </c>
      <c r="O409" s="9"/>
    </row>
    <row r="410" spans="2:15" x14ac:dyDescent="0.3">
      <c r="B410" s="149"/>
      <c r="C410" s="149"/>
      <c r="D410" s="149"/>
      <c r="E410" s="9"/>
      <c r="F410" s="72"/>
      <c r="G410" s="72"/>
      <c r="H410" s="72"/>
      <c r="I410" s="72"/>
      <c r="J410" s="72"/>
      <c r="K410" s="72"/>
      <c r="L410" s="17"/>
      <c r="M410" s="17"/>
      <c r="N410" s="70">
        <f t="shared" si="22"/>
        <v>0</v>
      </c>
      <c r="O410" s="9"/>
    </row>
    <row r="411" spans="2:15" x14ac:dyDescent="0.3">
      <c r="B411" s="149"/>
      <c r="C411" s="149"/>
      <c r="D411" s="149"/>
      <c r="E411" s="9"/>
      <c r="F411" s="72"/>
      <c r="G411" s="72"/>
      <c r="H411" s="72"/>
      <c r="I411" s="72"/>
      <c r="J411" s="72"/>
      <c r="K411" s="72"/>
      <c r="L411" s="17"/>
      <c r="M411" s="17"/>
      <c r="N411" s="70">
        <f t="shared" si="22"/>
        <v>0</v>
      </c>
      <c r="O411" s="9"/>
    </row>
    <row r="412" spans="2:15" x14ac:dyDescent="0.3">
      <c r="B412" s="149"/>
      <c r="C412" s="149"/>
      <c r="D412" s="149"/>
      <c r="E412" s="9"/>
      <c r="F412" s="72"/>
      <c r="G412" s="72"/>
      <c r="H412" s="72"/>
      <c r="I412" s="72"/>
      <c r="J412" s="72"/>
      <c r="K412" s="72"/>
      <c r="L412" s="17"/>
      <c r="M412" s="17"/>
      <c r="N412" s="70">
        <f t="shared" si="22"/>
        <v>0</v>
      </c>
      <c r="O412" s="9"/>
    </row>
    <row r="413" spans="2:15" x14ac:dyDescent="0.3">
      <c r="B413" s="149"/>
      <c r="C413" s="149"/>
      <c r="D413" s="149"/>
      <c r="E413" s="9"/>
      <c r="F413" s="72"/>
      <c r="G413" s="72"/>
      <c r="H413" s="72"/>
      <c r="I413" s="72"/>
      <c r="J413" s="72"/>
      <c r="K413" s="72"/>
      <c r="L413" s="17"/>
      <c r="M413" s="17"/>
      <c r="N413" s="70">
        <f t="shared" si="22"/>
        <v>0</v>
      </c>
      <c r="O413" s="9"/>
    </row>
    <row r="414" spans="2:15" x14ac:dyDescent="0.3">
      <c r="B414" s="149"/>
      <c r="C414" s="149"/>
      <c r="D414" s="149"/>
      <c r="E414" s="9"/>
      <c r="F414" s="72"/>
      <c r="G414" s="72"/>
      <c r="H414" s="72"/>
      <c r="I414" s="72"/>
      <c r="J414" s="72"/>
      <c r="K414" s="72"/>
      <c r="L414" s="17"/>
      <c r="M414" s="17"/>
      <c r="N414" s="70">
        <f t="shared" si="22"/>
        <v>0</v>
      </c>
      <c r="O414" s="9"/>
    </row>
    <row r="415" spans="2:15" x14ac:dyDescent="0.3">
      <c r="B415" s="149"/>
      <c r="C415" s="149"/>
      <c r="D415" s="149"/>
      <c r="E415" s="9"/>
      <c r="F415" s="72"/>
      <c r="G415" s="72"/>
      <c r="H415" s="72"/>
      <c r="I415" s="72"/>
      <c r="J415" s="72"/>
      <c r="K415" s="72"/>
      <c r="L415" s="17"/>
      <c r="M415" s="17"/>
      <c r="N415" s="70">
        <f t="shared" si="22"/>
        <v>0</v>
      </c>
      <c r="O415" s="9"/>
    </row>
    <row r="416" spans="2:15" x14ac:dyDescent="0.3">
      <c r="B416" s="149"/>
      <c r="C416" s="149"/>
      <c r="D416" s="149"/>
      <c r="E416" s="9"/>
      <c r="F416" s="72"/>
      <c r="G416" s="72"/>
      <c r="H416" s="72"/>
      <c r="I416" s="72"/>
      <c r="J416" s="72"/>
      <c r="K416" s="72"/>
      <c r="L416" s="17"/>
      <c r="M416" s="17"/>
      <c r="N416" s="70">
        <f t="shared" si="22"/>
        <v>0</v>
      </c>
      <c r="O416" s="9"/>
    </row>
    <row r="417" spans="1:15" x14ac:dyDescent="0.3">
      <c r="B417" s="149"/>
      <c r="C417" s="149"/>
      <c r="D417" s="149"/>
      <c r="E417" s="68"/>
      <c r="F417" s="39"/>
      <c r="G417" s="39"/>
      <c r="H417" s="39"/>
      <c r="I417" s="39"/>
      <c r="J417" s="39"/>
      <c r="K417" s="39"/>
      <c r="L417" s="39"/>
      <c r="M417" s="39"/>
      <c r="N417" s="70">
        <f t="shared" si="22"/>
        <v>0</v>
      </c>
      <c r="O417" s="39"/>
    </row>
    <row r="418" spans="1:15" x14ac:dyDescent="0.3">
      <c r="B418" s="149"/>
      <c r="C418" s="149"/>
      <c r="D418" s="149"/>
      <c r="E418" s="68"/>
      <c r="F418" s="39"/>
      <c r="G418" s="39"/>
      <c r="H418" s="39"/>
      <c r="I418" s="39"/>
      <c r="J418" s="39"/>
      <c r="K418" s="39"/>
      <c r="L418" s="39"/>
      <c r="M418" s="39"/>
      <c r="N418" s="70">
        <f t="shared" si="22"/>
        <v>0</v>
      </c>
      <c r="O418" s="39"/>
    </row>
    <row r="419" spans="1:15" x14ac:dyDescent="0.3">
      <c r="B419" s="149"/>
      <c r="C419" s="149"/>
      <c r="D419" s="149"/>
      <c r="E419" s="68"/>
      <c r="F419" s="39"/>
      <c r="G419" s="39"/>
      <c r="H419" s="39"/>
      <c r="I419" s="39"/>
      <c r="J419" s="39"/>
      <c r="K419" s="39"/>
      <c r="L419" s="39"/>
      <c r="M419" s="39"/>
      <c r="N419" s="70">
        <f t="shared" si="22"/>
        <v>0</v>
      </c>
      <c r="O419" s="39"/>
    </row>
    <row r="420" spans="1:15" x14ac:dyDescent="0.3">
      <c r="B420" s="149"/>
      <c r="C420" s="149"/>
      <c r="D420" s="149"/>
      <c r="E420" s="68"/>
      <c r="F420" s="39"/>
      <c r="G420" s="39"/>
      <c r="H420" s="39"/>
      <c r="I420" s="39"/>
      <c r="J420" s="39"/>
      <c r="K420" s="39"/>
      <c r="L420" s="39"/>
      <c r="M420" s="39"/>
      <c r="N420" s="70">
        <f t="shared" si="22"/>
        <v>0</v>
      </c>
      <c r="O420" s="39"/>
    </row>
    <row r="421" spans="1:15" x14ac:dyDescent="0.3">
      <c r="B421" s="149"/>
      <c r="C421" s="149"/>
      <c r="D421" s="149"/>
      <c r="E421" s="68"/>
      <c r="F421" s="39"/>
      <c r="G421" s="39"/>
      <c r="H421" s="39"/>
      <c r="I421" s="39"/>
      <c r="J421" s="39"/>
      <c r="K421" s="39"/>
      <c r="L421" s="39"/>
      <c r="M421" s="39"/>
      <c r="N421" s="70">
        <f t="shared" si="22"/>
        <v>0</v>
      </c>
      <c r="O421" s="39"/>
    </row>
    <row r="422" spans="1:15" ht="14.1" customHeight="1" x14ac:dyDescent="0.3">
      <c r="B422" s="145" t="s">
        <v>29</v>
      </c>
      <c r="C422" s="145"/>
      <c r="D422" s="145"/>
      <c r="E422" s="145"/>
      <c r="F422" s="145"/>
      <c r="G422" s="145"/>
      <c r="H422" s="145"/>
      <c r="I422" s="54">
        <f t="shared" ref="I422:N422" si="23">SUM(I402:I421)</f>
        <v>0</v>
      </c>
      <c r="J422" s="54">
        <f t="shared" si="23"/>
        <v>0</v>
      </c>
      <c r="K422" s="54">
        <f t="shared" si="23"/>
        <v>0</v>
      </c>
      <c r="L422" s="54">
        <f t="shared" si="23"/>
        <v>0</v>
      </c>
      <c r="M422" s="54">
        <f t="shared" si="23"/>
        <v>0</v>
      </c>
      <c r="N422" s="54">
        <f t="shared" si="23"/>
        <v>0</v>
      </c>
      <c r="O422" s="31"/>
    </row>
    <row r="424" spans="1:15" x14ac:dyDescent="0.3">
      <c r="A424" s="34" t="s">
        <v>195</v>
      </c>
      <c r="B424" s="130" t="s">
        <v>196</v>
      </c>
      <c r="C424" s="130"/>
      <c r="D424" s="130"/>
      <c r="E424" s="130"/>
      <c r="F424" s="130"/>
    </row>
    <row r="426" spans="1:15" ht="14.1" customHeight="1" x14ac:dyDescent="0.3">
      <c r="B426" s="15"/>
      <c r="C426" s="15"/>
      <c r="D426" s="15"/>
      <c r="E426" s="116" t="s">
        <v>140</v>
      </c>
      <c r="F426" s="116" t="s">
        <v>7</v>
      </c>
      <c r="G426" s="116" t="s">
        <v>8</v>
      </c>
      <c r="H426" s="116" t="s">
        <v>6</v>
      </c>
      <c r="I426" s="124" t="s">
        <v>142</v>
      </c>
      <c r="J426" s="124" t="s">
        <v>143</v>
      </c>
      <c r="K426" s="116" t="s">
        <v>144</v>
      </c>
      <c r="L426" s="116" t="s">
        <v>145</v>
      </c>
      <c r="M426" s="116"/>
      <c r="N426" s="116"/>
      <c r="O426" s="116"/>
    </row>
    <row r="427" spans="1:15" ht="18.149999999999999" customHeight="1" x14ac:dyDescent="0.3">
      <c r="B427" s="116" t="s">
        <v>5</v>
      </c>
      <c r="C427" s="116"/>
      <c r="D427" s="116"/>
      <c r="E427" s="116"/>
      <c r="F427" s="116"/>
      <c r="G427" s="116"/>
      <c r="H427" s="116"/>
      <c r="I427" s="124"/>
      <c r="J427" s="124"/>
      <c r="K427" s="116"/>
      <c r="L427" s="9" t="s">
        <v>6</v>
      </c>
      <c r="M427" s="9" t="s">
        <v>7</v>
      </c>
      <c r="N427" s="9" t="s">
        <v>10</v>
      </c>
      <c r="O427" s="23" t="s">
        <v>164</v>
      </c>
    </row>
    <row r="428" spans="1:15" x14ac:dyDescent="0.3">
      <c r="B428" s="116"/>
      <c r="C428" s="116"/>
      <c r="D428" s="116"/>
      <c r="E428" s="116"/>
      <c r="F428" s="65" t="s">
        <v>13</v>
      </c>
      <c r="G428" s="65" t="s">
        <v>13</v>
      </c>
      <c r="H428" s="65" t="s">
        <v>13</v>
      </c>
      <c r="I428" s="65" t="s">
        <v>15</v>
      </c>
      <c r="J428" s="65" t="s">
        <v>146</v>
      </c>
      <c r="K428" s="65" t="s">
        <v>146</v>
      </c>
      <c r="L428" s="17" t="s">
        <v>13</v>
      </c>
      <c r="M428" s="17" t="s">
        <v>13</v>
      </c>
      <c r="N428" s="17" t="s">
        <v>14</v>
      </c>
      <c r="O428" s="17" t="s">
        <v>13</v>
      </c>
    </row>
    <row r="429" spans="1:15" x14ac:dyDescent="0.3">
      <c r="B429" s="149"/>
      <c r="C429" s="149"/>
      <c r="D429" s="149"/>
      <c r="E429" s="9"/>
      <c r="F429" s="72"/>
      <c r="G429" s="72"/>
      <c r="H429" s="72"/>
      <c r="I429" s="72"/>
      <c r="J429" s="72"/>
      <c r="K429" s="72"/>
      <c r="L429" s="17"/>
      <c r="M429" s="17"/>
      <c r="N429" s="70">
        <f t="shared" ref="N429:N448" si="24">L429*M429</f>
        <v>0</v>
      </c>
      <c r="O429" s="9"/>
    </row>
    <row r="430" spans="1:15" x14ac:dyDescent="0.3">
      <c r="B430" s="149"/>
      <c r="C430" s="149"/>
      <c r="D430" s="149"/>
      <c r="E430" s="9"/>
      <c r="F430" s="72"/>
      <c r="G430" s="72"/>
      <c r="H430" s="72"/>
      <c r="I430" s="72"/>
      <c r="J430" s="72"/>
      <c r="K430" s="72"/>
      <c r="L430" s="17"/>
      <c r="M430" s="17"/>
      <c r="N430" s="70">
        <f t="shared" si="24"/>
        <v>0</v>
      </c>
      <c r="O430" s="9"/>
    </row>
    <row r="431" spans="1:15" x14ac:dyDescent="0.3">
      <c r="B431" s="149"/>
      <c r="C431" s="149"/>
      <c r="D431" s="149"/>
      <c r="E431" s="9"/>
      <c r="F431" s="72"/>
      <c r="G431" s="72"/>
      <c r="H431" s="72"/>
      <c r="I431" s="72"/>
      <c r="J431" s="72"/>
      <c r="K431" s="72"/>
      <c r="L431" s="17"/>
      <c r="M431" s="17"/>
      <c r="N431" s="70">
        <f t="shared" si="24"/>
        <v>0</v>
      </c>
      <c r="O431" s="9"/>
    </row>
    <row r="432" spans="1:15" x14ac:dyDescent="0.3">
      <c r="B432" s="149"/>
      <c r="C432" s="149"/>
      <c r="D432" s="149"/>
      <c r="E432" s="9"/>
      <c r="F432" s="72"/>
      <c r="G432" s="72"/>
      <c r="H432" s="72"/>
      <c r="I432" s="72"/>
      <c r="J432" s="72"/>
      <c r="K432" s="72"/>
      <c r="L432" s="17"/>
      <c r="M432" s="17"/>
      <c r="N432" s="70">
        <f t="shared" si="24"/>
        <v>0</v>
      </c>
      <c r="O432" s="9"/>
    </row>
    <row r="433" spans="2:15" x14ac:dyDescent="0.3">
      <c r="B433" s="149"/>
      <c r="C433" s="149"/>
      <c r="D433" s="149"/>
      <c r="E433" s="9"/>
      <c r="F433" s="72"/>
      <c r="G433" s="72"/>
      <c r="H433" s="72"/>
      <c r="I433" s="72"/>
      <c r="J433" s="72"/>
      <c r="K433" s="72"/>
      <c r="L433" s="17"/>
      <c r="M433" s="17"/>
      <c r="N433" s="70">
        <f t="shared" si="24"/>
        <v>0</v>
      </c>
      <c r="O433" s="9"/>
    </row>
    <row r="434" spans="2:15" x14ac:dyDescent="0.3">
      <c r="B434" s="149"/>
      <c r="C434" s="149"/>
      <c r="D434" s="149"/>
      <c r="E434" s="9"/>
      <c r="F434" s="72"/>
      <c r="G434" s="72"/>
      <c r="H434" s="72"/>
      <c r="I434" s="72"/>
      <c r="J434" s="72"/>
      <c r="K434" s="72"/>
      <c r="L434" s="17"/>
      <c r="M434" s="17"/>
      <c r="N434" s="70">
        <f t="shared" si="24"/>
        <v>0</v>
      </c>
      <c r="O434" s="9"/>
    </row>
    <row r="435" spans="2:15" x14ac:dyDescent="0.3">
      <c r="B435" s="149"/>
      <c r="C435" s="149"/>
      <c r="D435" s="149"/>
      <c r="E435" s="9"/>
      <c r="F435" s="72"/>
      <c r="G435" s="72"/>
      <c r="H435" s="72"/>
      <c r="I435" s="72"/>
      <c r="J435" s="72"/>
      <c r="K435" s="72"/>
      <c r="L435" s="17"/>
      <c r="M435" s="17"/>
      <c r="N435" s="70">
        <f t="shared" si="24"/>
        <v>0</v>
      </c>
      <c r="O435" s="9"/>
    </row>
    <row r="436" spans="2:15" x14ac:dyDescent="0.3">
      <c r="B436" s="149"/>
      <c r="C436" s="149"/>
      <c r="D436" s="149"/>
      <c r="E436" s="9"/>
      <c r="F436" s="72"/>
      <c r="G436" s="72"/>
      <c r="H436" s="72"/>
      <c r="I436" s="72"/>
      <c r="J436" s="72"/>
      <c r="K436" s="72"/>
      <c r="L436" s="17"/>
      <c r="M436" s="17"/>
      <c r="N436" s="70">
        <f t="shared" si="24"/>
        <v>0</v>
      </c>
      <c r="O436" s="9"/>
    </row>
    <row r="437" spans="2:15" x14ac:dyDescent="0.3">
      <c r="B437" s="149"/>
      <c r="C437" s="149"/>
      <c r="D437" s="149"/>
      <c r="E437" s="9"/>
      <c r="F437" s="72"/>
      <c r="G437" s="72"/>
      <c r="H437" s="72"/>
      <c r="I437" s="72"/>
      <c r="J437" s="72"/>
      <c r="K437" s="72"/>
      <c r="L437" s="17"/>
      <c r="M437" s="17"/>
      <c r="N437" s="70">
        <f t="shared" si="24"/>
        <v>0</v>
      </c>
      <c r="O437" s="9"/>
    </row>
    <row r="438" spans="2:15" x14ac:dyDescent="0.3">
      <c r="B438" s="149"/>
      <c r="C438" s="149"/>
      <c r="D438" s="149"/>
      <c r="E438" s="9"/>
      <c r="F438" s="72"/>
      <c r="G438" s="72"/>
      <c r="H438" s="72"/>
      <c r="I438" s="72"/>
      <c r="J438" s="72"/>
      <c r="K438" s="72"/>
      <c r="L438" s="17"/>
      <c r="M438" s="17"/>
      <c r="N438" s="70">
        <f t="shared" si="24"/>
        <v>0</v>
      </c>
      <c r="O438" s="9"/>
    </row>
    <row r="439" spans="2:15" x14ac:dyDescent="0.3">
      <c r="B439" s="149"/>
      <c r="C439" s="149"/>
      <c r="D439" s="149"/>
      <c r="E439" s="9"/>
      <c r="F439" s="72"/>
      <c r="G439" s="72"/>
      <c r="H439" s="72"/>
      <c r="I439" s="72"/>
      <c r="J439" s="72"/>
      <c r="K439" s="72"/>
      <c r="L439" s="17"/>
      <c r="M439" s="17"/>
      <c r="N439" s="70">
        <f t="shared" si="24"/>
        <v>0</v>
      </c>
      <c r="O439" s="9"/>
    </row>
    <row r="440" spans="2:15" x14ac:dyDescent="0.3">
      <c r="B440" s="149"/>
      <c r="C440" s="149"/>
      <c r="D440" s="149"/>
      <c r="E440" s="9"/>
      <c r="F440" s="72"/>
      <c r="G440" s="72"/>
      <c r="H440" s="72"/>
      <c r="I440" s="72"/>
      <c r="J440" s="72"/>
      <c r="K440" s="72"/>
      <c r="L440" s="17"/>
      <c r="M440" s="17"/>
      <c r="N440" s="70">
        <f t="shared" si="24"/>
        <v>0</v>
      </c>
      <c r="O440" s="9"/>
    </row>
    <row r="441" spans="2:15" x14ac:dyDescent="0.3">
      <c r="B441" s="149"/>
      <c r="C441" s="149"/>
      <c r="D441" s="149"/>
      <c r="E441" s="9"/>
      <c r="F441" s="72"/>
      <c r="G441" s="72"/>
      <c r="H441" s="72"/>
      <c r="I441" s="72"/>
      <c r="J441" s="72"/>
      <c r="K441" s="72"/>
      <c r="L441" s="17"/>
      <c r="M441" s="17"/>
      <c r="N441" s="70">
        <f t="shared" si="24"/>
        <v>0</v>
      </c>
      <c r="O441" s="9"/>
    </row>
    <row r="442" spans="2:15" x14ac:dyDescent="0.3">
      <c r="B442" s="149"/>
      <c r="C442" s="149"/>
      <c r="D442" s="149"/>
      <c r="E442" s="9"/>
      <c r="F442" s="72"/>
      <c r="G442" s="72"/>
      <c r="H442" s="72"/>
      <c r="I442" s="72"/>
      <c r="J442" s="72"/>
      <c r="K442" s="72"/>
      <c r="L442" s="17"/>
      <c r="M442" s="17"/>
      <c r="N442" s="70">
        <f t="shared" si="24"/>
        <v>0</v>
      </c>
      <c r="O442" s="9"/>
    </row>
    <row r="443" spans="2:15" x14ac:dyDescent="0.3">
      <c r="B443" s="149"/>
      <c r="C443" s="149"/>
      <c r="D443" s="149"/>
      <c r="E443" s="9"/>
      <c r="F443" s="72"/>
      <c r="G443" s="72"/>
      <c r="H443" s="72"/>
      <c r="I443" s="72"/>
      <c r="J443" s="72"/>
      <c r="K443" s="72"/>
      <c r="L443" s="17"/>
      <c r="M443" s="17"/>
      <c r="N443" s="70">
        <f t="shared" si="24"/>
        <v>0</v>
      </c>
      <c r="O443" s="9"/>
    </row>
    <row r="444" spans="2:15" x14ac:dyDescent="0.3">
      <c r="B444" s="149"/>
      <c r="C444" s="149"/>
      <c r="D444" s="149"/>
      <c r="E444" s="68"/>
      <c r="F444" s="39"/>
      <c r="G444" s="39"/>
      <c r="H444" s="39"/>
      <c r="I444" s="39"/>
      <c r="J444" s="39"/>
      <c r="K444" s="39"/>
      <c r="L444" s="39"/>
      <c r="M444" s="39"/>
      <c r="N444" s="70">
        <f t="shared" si="24"/>
        <v>0</v>
      </c>
      <c r="O444" s="39"/>
    </row>
    <row r="445" spans="2:15" x14ac:dyDescent="0.3">
      <c r="B445" s="149"/>
      <c r="C445" s="149"/>
      <c r="D445" s="149"/>
      <c r="E445" s="68"/>
      <c r="F445" s="39"/>
      <c r="G445" s="39"/>
      <c r="H445" s="39"/>
      <c r="I445" s="39"/>
      <c r="J445" s="39"/>
      <c r="K445" s="39"/>
      <c r="L445" s="39"/>
      <c r="M445" s="39"/>
      <c r="N445" s="70">
        <f t="shared" si="24"/>
        <v>0</v>
      </c>
      <c r="O445" s="39"/>
    </row>
    <row r="446" spans="2:15" x14ac:dyDescent="0.3">
      <c r="B446" s="149"/>
      <c r="C446" s="149"/>
      <c r="D446" s="149"/>
      <c r="E446" s="68"/>
      <c r="F446" s="39"/>
      <c r="G446" s="39"/>
      <c r="H446" s="39"/>
      <c r="I446" s="39"/>
      <c r="J446" s="39"/>
      <c r="K446" s="39"/>
      <c r="L446" s="39"/>
      <c r="M446" s="39"/>
      <c r="N446" s="70">
        <f t="shared" si="24"/>
        <v>0</v>
      </c>
      <c r="O446" s="39"/>
    </row>
    <row r="447" spans="2:15" x14ac:dyDescent="0.3">
      <c r="B447" s="149"/>
      <c r="C447" s="149"/>
      <c r="D447" s="149"/>
      <c r="E447" s="68"/>
      <c r="F447" s="39"/>
      <c r="G447" s="39"/>
      <c r="H447" s="39"/>
      <c r="I447" s="39"/>
      <c r="J447" s="39"/>
      <c r="K447" s="39"/>
      <c r="L447" s="39"/>
      <c r="M447" s="39"/>
      <c r="N447" s="70">
        <f t="shared" si="24"/>
        <v>0</v>
      </c>
      <c r="O447" s="39"/>
    </row>
    <row r="448" spans="2:15" x14ac:dyDescent="0.3">
      <c r="B448" s="149"/>
      <c r="C448" s="149"/>
      <c r="D448" s="149"/>
      <c r="E448" s="68"/>
      <c r="F448" s="39"/>
      <c r="G448" s="39"/>
      <c r="H448" s="39"/>
      <c r="I448" s="39"/>
      <c r="J448" s="39"/>
      <c r="K448" s="39"/>
      <c r="L448" s="39"/>
      <c r="M448" s="39"/>
      <c r="N448" s="70">
        <f t="shared" si="24"/>
        <v>0</v>
      </c>
      <c r="O448" s="39"/>
    </row>
    <row r="449" spans="1:16" ht="14.1" customHeight="1" x14ac:dyDescent="0.3">
      <c r="B449" s="145" t="s">
        <v>29</v>
      </c>
      <c r="C449" s="145"/>
      <c r="D449" s="145"/>
      <c r="E449" s="145"/>
      <c r="F449" s="145"/>
      <c r="G449" s="145"/>
      <c r="H449" s="145"/>
      <c r="I449" s="54">
        <f t="shared" ref="I449:N449" si="25">SUM(I429:I448)</f>
        <v>0</v>
      </c>
      <c r="J449" s="54">
        <f t="shared" si="25"/>
        <v>0</v>
      </c>
      <c r="K449" s="54">
        <f t="shared" si="25"/>
        <v>0</v>
      </c>
      <c r="L449" s="54">
        <f t="shared" si="25"/>
        <v>0</v>
      </c>
      <c r="M449" s="54">
        <f t="shared" si="25"/>
        <v>0</v>
      </c>
      <c r="N449" s="54">
        <f t="shared" si="25"/>
        <v>0</v>
      </c>
      <c r="O449" s="31"/>
    </row>
    <row r="451" spans="1:16" x14ac:dyDescent="0.3">
      <c r="A451" s="34" t="s">
        <v>197</v>
      </c>
      <c r="B451" s="130" t="s">
        <v>198</v>
      </c>
      <c r="C451" s="130"/>
      <c r="D451" s="130"/>
      <c r="E451" s="130"/>
    </row>
    <row r="453" spans="1:16" x14ac:dyDescent="0.3">
      <c r="A453" s="34" t="s">
        <v>199</v>
      </c>
      <c r="B453" s="44" t="s">
        <v>163</v>
      </c>
      <c r="C453" s="44"/>
      <c r="D453" s="44"/>
    </row>
    <row r="455" spans="1:16" ht="14.1" customHeight="1" x14ac:dyDescent="0.3">
      <c r="B455" s="15"/>
      <c r="C455" s="15"/>
      <c r="D455" s="15"/>
      <c r="E455" s="116" t="s">
        <v>140</v>
      </c>
      <c r="F455" s="116" t="s">
        <v>8</v>
      </c>
      <c r="G455" s="116" t="s">
        <v>200</v>
      </c>
      <c r="H455" s="116" t="s">
        <v>141</v>
      </c>
      <c r="I455" s="116"/>
      <c r="J455" s="116" t="s">
        <v>201</v>
      </c>
      <c r="K455" s="124" t="s">
        <v>202</v>
      </c>
      <c r="L455" s="116" t="s">
        <v>203</v>
      </c>
      <c r="M455" s="116"/>
      <c r="N455" s="116"/>
      <c r="O455" s="116"/>
      <c r="P455" s="116"/>
    </row>
    <row r="456" spans="1:16" ht="14.1" customHeight="1" x14ac:dyDescent="0.3">
      <c r="B456" s="116" t="s">
        <v>5</v>
      </c>
      <c r="C456" s="116"/>
      <c r="D456" s="116"/>
      <c r="E456" s="116"/>
      <c r="F456" s="116"/>
      <c r="G456" s="116"/>
      <c r="H456" s="9" t="s">
        <v>7</v>
      </c>
      <c r="I456" s="9" t="s">
        <v>6</v>
      </c>
      <c r="J456" s="116"/>
      <c r="K456" s="116"/>
      <c r="L456" s="9" t="s">
        <v>8</v>
      </c>
      <c r="M456" s="9" t="s">
        <v>6</v>
      </c>
      <c r="N456" s="9" t="s">
        <v>9</v>
      </c>
      <c r="O456" s="9" t="s">
        <v>10</v>
      </c>
      <c r="P456" s="9" t="s">
        <v>201</v>
      </c>
    </row>
    <row r="457" spans="1:16" x14ac:dyDescent="0.3">
      <c r="B457" s="116"/>
      <c r="C457" s="116"/>
      <c r="D457" s="116"/>
      <c r="E457" s="116"/>
      <c r="F457" s="17" t="s">
        <v>13</v>
      </c>
      <c r="G457" s="116"/>
      <c r="H457" s="17" t="s">
        <v>13</v>
      </c>
      <c r="I457" s="17" t="s">
        <v>13</v>
      </c>
      <c r="J457" s="17" t="s">
        <v>146</v>
      </c>
      <c r="K457" s="17" t="s">
        <v>14</v>
      </c>
      <c r="L457" s="17" t="s">
        <v>13</v>
      </c>
      <c r="M457" s="17" t="s">
        <v>13</v>
      </c>
      <c r="N457" s="17" t="s">
        <v>13</v>
      </c>
      <c r="O457" s="17" t="s">
        <v>14</v>
      </c>
      <c r="P457" s="17" t="s">
        <v>146</v>
      </c>
    </row>
    <row r="458" spans="1:16" x14ac:dyDescent="0.3">
      <c r="B458" s="149"/>
      <c r="C458" s="149"/>
      <c r="D458" s="149"/>
      <c r="E458" s="9"/>
      <c r="F458" s="72"/>
      <c r="G458" s="9"/>
      <c r="H458" s="17"/>
      <c r="I458" s="17"/>
      <c r="J458" s="72"/>
      <c r="K458" s="72"/>
      <c r="L458" s="17"/>
      <c r="M458" s="17"/>
      <c r="N458" s="17"/>
      <c r="O458" s="17"/>
      <c r="P458" s="17"/>
    </row>
    <row r="459" spans="1:16" x14ac:dyDescent="0.3">
      <c r="B459" s="149"/>
      <c r="C459" s="149"/>
      <c r="D459" s="149"/>
      <c r="E459" s="9"/>
      <c r="F459" s="72"/>
      <c r="G459" s="9"/>
      <c r="H459" s="17"/>
      <c r="I459" s="17"/>
      <c r="J459" s="72"/>
      <c r="K459" s="72"/>
      <c r="L459" s="17"/>
      <c r="M459" s="17"/>
      <c r="N459" s="17"/>
      <c r="O459" s="17"/>
      <c r="P459" s="17"/>
    </row>
    <row r="460" spans="1:16" x14ac:dyDescent="0.3">
      <c r="B460" s="149"/>
      <c r="C460" s="149"/>
      <c r="D460" s="149"/>
      <c r="E460" s="9"/>
      <c r="F460" s="72"/>
      <c r="G460" s="9"/>
      <c r="H460" s="17"/>
      <c r="I460" s="17"/>
      <c r="J460" s="72"/>
      <c r="K460" s="72"/>
      <c r="L460" s="17"/>
      <c r="M460" s="17"/>
      <c r="N460" s="17"/>
      <c r="O460" s="17"/>
      <c r="P460" s="17"/>
    </row>
    <row r="461" spans="1:16" x14ac:dyDescent="0.3">
      <c r="B461" s="149"/>
      <c r="C461" s="149"/>
      <c r="D461" s="149"/>
      <c r="E461" s="9"/>
      <c r="F461" s="72"/>
      <c r="G461" s="9"/>
      <c r="H461" s="17"/>
      <c r="I461" s="17"/>
      <c r="J461" s="72"/>
      <c r="K461" s="72"/>
      <c r="L461" s="17"/>
      <c r="M461" s="17"/>
      <c r="N461" s="17"/>
      <c r="O461" s="17"/>
      <c r="P461" s="17"/>
    </row>
    <row r="462" spans="1:16" x14ac:dyDescent="0.3">
      <c r="B462" s="149"/>
      <c r="C462" s="149"/>
      <c r="D462" s="149"/>
      <c r="E462" s="9"/>
      <c r="F462" s="72"/>
      <c r="G462" s="9"/>
      <c r="H462" s="17"/>
      <c r="I462" s="17"/>
      <c r="J462" s="72"/>
      <c r="K462" s="72"/>
      <c r="L462" s="17"/>
      <c r="M462" s="17"/>
      <c r="N462" s="17"/>
      <c r="O462" s="17"/>
      <c r="P462" s="17"/>
    </row>
    <row r="463" spans="1:16" x14ac:dyDescent="0.3">
      <c r="B463" s="149"/>
      <c r="C463" s="149"/>
      <c r="D463" s="149"/>
      <c r="E463" s="9"/>
      <c r="F463" s="72"/>
      <c r="G463" s="9"/>
      <c r="H463" s="17"/>
      <c r="I463" s="17"/>
      <c r="J463" s="72"/>
      <c r="K463" s="72"/>
      <c r="L463" s="17"/>
      <c r="M463" s="17"/>
      <c r="N463" s="17"/>
      <c r="O463" s="17"/>
      <c r="P463" s="17"/>
    </row>
    <row r="464" spans="1:16" x14ac:dyDescent="0.3">
      <c r="B464" s="149"/>
      <c r="C464" s="149"/>
      <c r="D464" s="149"/>
      <c r="E464" s="9"/>
      <c r="F464" s="72"/>
      <c r="G464" s="9"/>
      <c r="H464" s="17"/>
      <c r="I464" s="17"/>
      <c r="J464" s="72"/>
      <c r="K464" s="72"/>
      <c r="L464" s="17"/>
      <c r="M464" s="17"/>
      <c r="N464" s="17"/>
      <c r="O464" s="17"/>
      <c r="P464" s="17"/>
    </row>
    <row r="465" spans="1:16" x14ac:dyDescent="0.3">
      <c r="B465" s="149"/>
      <c r="C465" s="149"/>
      <c r="D465" s="149"/>
      <c r="E465" s="9"/>
      <c r="F465" s="72"/>
      <c r="G465" s="9"/>
      <c r="H465" s="17"/>
      <c r="I465" s="17"/>
      <c r="J465" s="72"/>
      <c r="K465" s="72"/>
      <c r="L465" s="17"/>
      <c r="M465" s="17"/>
      <c r="N465" s="17"/>
      <c r="O465" s="17"/>
      <c r="P465" s="17"/>
    </row>
    <row r="466" spans="1:16" x14ac:dyDescent="0.3">
      <c r="B466" s="149"/>
      <c r="C466" s="149"/>
      <c r="D466" s="149"/>
      <c r="E466" s="9"/>
      <c r="F466" s="72"/>
      <c r="G466" s="9"/>
      <c r="H466" s="17"/>
      <c r="I466" s="17"/>
      <c r="J466" s="72"/>
      <c r="K466" s="72"/>
      <c r="L466" s="17"/>
      <c r="M466" s="17"/>
      <c r="N466" s="17"/>
      <c r="O466" s="17"/>
      <c r="P466" s="17"/>
    </row>
    <row r="467" spans="1:16" x14ac:dyDescent="0.3">
      <c r="B467" s="149"/>
      <c r="C467" s="149"/>
      <c r="D467" s="149"/>
      <c r="E467" s="9"/>
      <c r="F467" s="72"/>
      <c r="G467" s="9"/>
      <c r="H467" s="17"/>
      <c r="I467" s="17"/>
      <c r="J467" s="72"/>
      <c r="K467" s="72"/>
      <c r="L467" s="17"/>
      <c r="M467" s="17"/>
      <c r="N467" s="17"/>
      <c r="O467" s="17"/>
      <c r="P467" s="17"/>
    </row>
    <row r="468" spans="1:16" x14ac:dyDescent="0.3">
      <c r="B468" s="149"/>
      <c r="C468" s="149"/>
      <c r="D468" s="149"/>
      <c r="E468" s="68"/>
      <c r="F468" s="79"/>
      <c r="G468" s="39"/>
      <c r="H468" s="79"/>
      <c r="I468" s="79"/>
      <c r="J468" s="39"/>
      <c r="K468" s="79"/>
      <c r="L468" s="79"/>
      <c r="M468" s="79"/>
      <c r="N468" s="79"/>
      <c r="O468" s="79"/>
      <c r="P468" s="79"/>
    </row>
    <row r="469" spans="1:16" x14ac:dyDescent="0.3">
      <c r="B469" s="149"/>
      <c r="C469" s="149"/>
      <c r="D469" s="149"/>
      <c r="E469" s="68"/>
      <c r="F469" s="79"/>
      <c r="G469" s="39"/>
      <c r="H469" s="79"/>
      <c r="I469" s="79"/>
      <c r="J469" s="39"/>
      <c r="K469" s="79"/>
      <c r="L469" s="79"/>
      <c r="M469" s="79"/>
      <c r="N469" s="79"/>
      <c r="O469" s="79"/>
      <c r="P469" s="79"/>
    </row>
    <row r="470" spans="1:16" x14ac:dyDescent="0.3">
      <c r="B470" s="149"/>
      <c r="C470" s="149"/>
      <c r="D470" s="149"/>
      <c r="E470" s="68"/>
      <c r="F470" s="79"/>
      <c r="G470" s="39"/>
      <c r="H470" s="79"/>
      <c r="I470" s="79"/>
      <c r="J470" s="39"/>
      <c r="K470" s="79"/>
      <c r="L470" s="79"/>
      <c r="M470" s="79"/>
      <c r="N470" s="79"/>
      <c r="O470" s="79"/>
      <c r="P470" s="79"/>
    </row>
    <row r="471" spans="1:16" x14ac:dyDescent="0.3">
      <c r="B471" s="149"/>
      <c r="C471" s="149"/>
      <c r="D471" s="149"/>
      <c r="E471" s="68"/>
      <c r="F471" s="79"/>
      <c r="G471" s="39"/>
      <c r="H471" s="79"/>
      <c r="I471" s="79"/>
      <c r="J471" s="39"/>
      <c r="K471" s="79"/>
      <c r="L471" s="79"/>
      <c r="M471" s="79"/>
      <c r="N471" s="79"/>
      <c r="O471" s="79"/>
      <c r="P471" s="79"/>
    </row>
    <row r="472" spans="1:16" x14ac:dyDescent="0.3">
      <c r="B472" s="149"/>
      <c r="C472" s="149"/>
      <c r="D472" s="149"/>
      <c r="E472" s="68"/>
      <c r="F472" s="79"/>
      <c r="G472" s="39"/>
      <c r="H472" s="79"/>
      <c r="I472" s="79"/>
      <c r="J472" s="39"/>
      <c r="K472" s="79"/>
      <c r="L472" s="79"/>
      <c r="M472" s="79"/>
      <c r="N472" s="79"/>
      <c r="O472" s="79"/>
      <c r="P472" s="79"/>
    </row>
    <row r="473" spans="1:16" x14ac:dyDescent="0.3">
      <c r="B473" s="149"/>
      <c r="C473" s="149"/>
      <c r="D473" s="149"/>
      <c r="E473" s="72"/>
      <c r="F473" s="72"/>
      <c r="G473" s="72"/>
      <c r="H473" s="72"/>
      <c r="I473" s="72"/>
      <c r="J473" s="39"/>
      <c r="K473" s="79"/>
      <c r="L473" s="79"/>
      <c r="M473" s="79"/>
      <c r="N473" s="79"/>
      <c r="O473" s="79"/>
      <c r="P473" s="79"/>
    </row>
    <row r="474" spans="1:16" x14ac:dyDescent="0.3">
      <c r="B474" s="149"/>
      <c r="C474" s="149"/>
      <c r="D474" s="149"/>
      <c r="E474" s="9"/>
      <c r="F474" s="72"/>
      <c r="G474" s="72"/>
      <c r="H474" s="72"/>
      <c r="I474" s="72"/>
      <c r="J474" s="72"/>
      <c r="K474" s="72"/>
      <c r="L474" s="17"/>
      <c r="M474" s="17"/>
      <c r="N474" s="17"/>
      <c r="O474" s="9"/>
      <c r="P474" s="63"/>
    </row>
    <row r="475" spans="1:16" x14ac:dyDescent="0.3">
      <c r="B475" s="149"/>
      <c r="C475" s="149"/>
      <c r="D475" s="149"/>
      <c r="E475" s="9"/>
      <c r="F475" s="72"/>
      <c r="G475" s="72"/>
      <c r="H475" s="72"/>
      <c r="I475" s="72"/>
      <c r="J475" s="72"/>
      <c r="K475" s="72"/>
      <c r="L475" s="17"/>
      <c r="M475" s="17"/>
      <c r="N475" s="17"/>
      <c r="O475" s="9"/>
      <c r="P475" s="63"/>
    </row>
    <row r="476" spans="1:16" x14ac:dyDescent="0.3">
      <c r="B476" s="149"/>
      <c r="C476" s="149"/>
      <c r="D476" s="149"/>
      <c r="E476" s="9"/>
      <c r="F476" s="72"/>
      <c r="G476" s="72"/>
      <c r="H476" s="72"/>
      <c r="I476" s="72"/>
      <c r="J476" s="72"/>
      <c r="K476" s="72"/>
      <c r="L476" s="17"/>
      <c r="M476" s="17"/>
      <c r="N476" s="17"/>
      <c r="O476" s="9"/>
      <c r="P476" s="63"/>
    </row>
    <row r="477" spans="1:16" x14ac:dyDescent="0.3">
      <c r="B477" s="149"/>
      <c r="C477" s="149"/>
      <c r="D477" s="149"/>
      <c r="E477" s="9"/>
      <c r="F477" s="72"/>
      <c r="G477" s="72"/>
      <c r="H477" s="72"/>
      <c r="I477" s="72"/>
      <c r="J477" s="72"/>
      <c r="K477" s="72"/>
      <c r="L477" s="17"/>
      <c r="M477" s="17"/>
      <c r="N477" s="17"/>
      <c r="O477" s="9"/>
      <c r="P477" s="63"/>
    </row>
    <row r="478" spans="1:16" x14ac:dyDescent="0.3">
      <c r="B478" s="150" t="s">
        <v>29</v>
      </c>
      <c r="C478" s="150"/>
      <c r="D478" s="150" t="s">
        <v>29</v>
      </c>
      <c r="E478" s="150"/>
      <c r="F478" s="150"/>
      <c r="G478" s="150"/>
      <c r="H478" s="150"/>
      <c r="I478" s="150"/>
      <c r="J478" s="54">
        <f t="shared" ref="J478:P478" si="26">SUM(J458:J477)</f>
        <v>0</v>
      </c>
      <c r="K478" s="54">
        <f t="shared" si="26"/>
        <v>0</v>
      </c>
      <c r="L478" s="54">
        <f t="shared" si="26"/>
        <v>0</v>
      </c>
      <c r="M478" s="54">
        <f t="shared" si="26"/>
        <v>0</v>
      </c>
      <c r="N478" s="54">
        <f t="shared" si="26"/>
        <v>0</v>
      </c>
      <c r="O478" s="54">
        <f t="shared" si="26"/>
        <v>0</v>
      </c>
      <c r="P478" s="54">
        <f t="shared" si="26"/>
        <v>0</v>
      </c>
    </row>
    <row r="479" spans="1:16" x14ac:dyDescent="0.3">
      <c r="C479" s="64"/>
      <c r="D479" s="42"/>
      <c r="E479" s="42"/>
      <c r="F479" s="42"/>
      <c r="G479" s="42"/>
      <c r="H479" s="42"/>
      <c r="I479" s="42"/>
      <c r="J479" s="42"/>
      <c r="K479" s="42"/>
      <c r="L479" s="42"/>
      <c r="M479" s="42"/>
    </row>
    <row r="480" spans="1:16" x14ac:dyDescent="0.3">
      <c r="A480" s="34" t="s">
        <v>204</v>
      </c>
      <c r="B480" s="44" t="s">
        <v>166</v>
      </c>
      <c r="C480" s="44"/>
      <c r="D480" s="44"/>
    </row>
    <row r="481" spans="2:16" x14ac:dyDescent="0.3">
      <c r="B481" s="44"/>
      <c r="C481" s="44"/>
      <c r="D481" s="44"/>
    </row>
    <row r="482" spans="2:16" ht="14.1" customHeight="1" x14ac:dyDescent="0.3">
      <c r="B482" s="15"/>
      <c r="C482" s="15"/>
      <c r="D482" s="15"/>
      <c r="E482" s="116" t="s">
        <v>140</v>
      </c>
      <c r="F482" s="116" t="s">
        <v>8</v>
      </c>
      <c r="G482" s="116" t="s">
        <v>200</v>
      </c>
      <c r="H482" s="116" t="s">
        <v>141</v>
      </c>
      <c r="I482" s="116"/>
      <c r="J482" s="116" t="s">
        <v>201</v>
      </c>
      <c r="K482" s="124" t="s">
        <v>202</v>
      </c>
      <c r="L482" s="116" t="s">
        <v>203</v>
      </c>
      <c r="M482" s="116"/>
      <c r="N482" s="116"/>
      <c r="O482" s="116"/>
      <c r="P482" s="116"/>
    </row>
    <row r="483" spans="2:16" ht="14.1" customHeight="1" x14ac:dyDescent="0.3">
      <c r="B483" s="116" t="s">
        <v>5</v>
      </c>
      <c r="C483" s="116"/>
      <c r="D483" s="116"/>
      <c r="E483" s="116"/>
      <c r="F483" s="116"/>
      <c r="G483" s="116"/>
      <c r="H483" s="9" t="s">
        <v>7</v>
      </c>
      <c r="I483" s="9" t="s">
        <v>6</v>
      </c>
      <c r="J483" s="116"/>
      <c r="K483" s="116"/>
      <c r="L483" s="9" t="s">
        <v>8</v>
      </c>
      <c r="M483" s="9" t="s">
        <v>6</v>
      </c>
      <c r="N483" s="9" t="s">
        <v>9</v>
      </c>
      <c r="O483" s="9" t="s">
        <v>10</v>
      </c>
      <c r="P483" s="9" t="s">
        <v>201</v>
      </c>
    </row>
    <row r="484" spans="2:16" x14ac:dyDescent="0.3">
      <c r="B484" s="116"/>
      <c r="C484" s="116"/>
      <c r="D484" s="116"/>
      <c r="E484" s="116"/>
      <c r="F484" s="17" t="s">
        <v>13</v>
      </c>
      <c r="G484" s="116"/>
      <c r="H484" s="17" t="s">
        <v>13</v>
      </c>
      <c r="I484" s="17" t="s">
        <v>13</v>
      </c>
      <c r="J484" s="17" t="s">
        <v>146</v>
      </c>
      <c r="K484" s="17" t="s">
        <v>14</v>
      </c>
      <c r="L484" s="17" t="s">
        <v>13</v>
      </c>
      <c r="M484" s="17" t="s">
        <v>13</v>
      </c>
      <c r="N484" s="17" t="s">
        <v>13</v>
      </c>
      <c r="O484" s="17" t="s">
        <v>14</v>
      </c>
      <c r="P484" s="17" t="s">
        <v>146</v>
      </c>
    </row>
    <row r="485" spans="2:16" x14ac:dyDescent="0.3">
      <c r="B485" s="149"/>
      <c r="C485" s="149"/>
      <c r="D485" s="149"/>
      <c r="E485" s="9"/>
      <c r="F485" s="72"/>
      <c r="G485" s="9"/>
      <c r="H485" s="17"/>
      <c r="I485" s="17"/>
      <c r="J485" s="72"/>
      <c r="K485" s="72"/>
      <c r="L485" s="17"/>
      <c r="M485" s="17"/>
      <c r="N485" s="17"/>
      <c r="O485" s="17"/>
      <c r="P485" s="17"/>
    </row>
    <row r="486" spans="2:16" x14ac:dyDescent="0.3">
      <c r="B486" s="149"/>
      <c r="C486" s="149"/>
      <c r="D486" s="149"/>
      <c r="E486" s="9"/>
      <c r="F486" s="72"/>
      <c r="G486" s="9"/>
      <c r="H486" s="17"/>
      <c r="I486" s="17"/>
      <c r="J486" s="72"/>
      <c r="K486" s="72"/>
      <c r="L486" s="17"/>
      <c r="M486" s="17"/>
      <c r="N486" s="17"/>
      <c r="O486" s="17"/>
      <c r="P486" s="17"/>
    </row>
    <row r="487" spans="2:16" x14ac:dyDescent="0.3">
      <c r="B487" s="149"/>
      <c r="C487" s="149"/>
      <c r="D487" s="149"/>
      <c r="E487" s="9"/>
      <c r="F487" s="72"/>
      <c r="G487" s="9"/>
      <c r="H487" s="17"/>
      <c r="I487" s="17"/>
      <c r="J487" s="72"/>
      <c r="K487" s="72"/>
      <c r="L487" s="17"/>
      <c r="M487" s="17"/>
      <c r="N487" s="17"/>
      <c r="O487" s="17"/>
      <c r="P487" s="17"/>
    </row>
    <row r="488" spans="2:16" x14ac:dyDescent="0.3">
      <c r="B488" s="149"/>
      <c r="C488" s="149"/>
      <c r="D488" s="149"/>
      <c r="E488" s="9"/>
      <c r="F488" s="72"/>
      <c r="G488" s="9"/>
      <c r="H488" s="17"/>
      <c r="I488" s="17"/>
      <c r="J488" s="72"/>
      <c r="K488" s="72"/>
      <c r="L488" s="17"/>
      <c r="M488" s="17"/>
      <c r="N488" s="17"/>
      <c r="O488" s="17"/>
      <c r="P488" s="17"/>
    </row>
    <row r="489" spans="2:16" x14ac:dyDescent="0.3">
      <c r="B489" s="149"/>
      <c r="C489" s="149"/>
      <c r="D489" s="149"/>
      <c r="E489" s="9"/>
      <c r="F489" s="72"/>
      <c r="G489" s="9"/>
      <c r="H489" s="17"/>
      <c r="I489" s="17"/>
      <c r="J489" s="72"/>
      <c r="K489" s="72"/>
      <c r="L489" s="17"/>
      <c r="M489" s="17"/>
      <c r="N489" s="17"/>
      <c r="O489" s="17"/>
      <c r="P489" s="17"/>
    </row>
    <row r="490" spans="2:16" x14ac:dyDescent="0.3">
      <c r="B490" s="149"/>
      <c r="C490" s="149"/>
      <c r="D490" s="149"/>
      <c r="E490" s="9"/>
      <c r="F490" s="72"/>
      <c r="G490" s="9"/>
      <c r="H490" s="17"/>
      <c r="I490" s="17"/>
      <c r="J490" s="72"/>
      <c r="K490" s="72"/>
      <c r="L490" s="17"/>
      <c r="M490" s="17"/>
      <c r="N490" s="17"/>
      <c r="O490" s="17"/>
      <c r="P490" s="17"/>
    </row>
    <row r="491" spans="2:16" x14ac:dyDescent="0.3">
      <c r="B491" s="149"/>
      <c r="C491" s="149"/>
      <c r="D491" s="149"/>
      <c r="E491" s="9"/>
      <c r="F491" s="72"/>
      <c r="G491" s="9"/>
      <c r="H491" s="17"/>
      <c r="I491" s="17"/>
      <c r="J491" s="72"/>
      <c r="K491" s="72"/>
      <c r="L491" s="17"/>
      <c r="M491" s="17"/>
      <c r="N491" s="17"/>
      <c r="O491" s="17"/>
      <c r="P491" s="17"/>
    </row>
    <row r="492" spans="2:16" x14ac:dyDescent="0.3">
      <c r="B492" s="149"/>
      <c r="C492" s="149"/>
      <c r="D492" s="149"/>
      <c r="E492" s="9"/>
      <c r="F492" s="72"/>
      <c r="G492" s="9"/>
      <c r="H492" s="17"/>
      <c r="I492" s="17"/>
      <c r="J492" s="72"/>
      <c r="K492" s="72"/>
      <c r="L492" s="17"/>
      <c r="M492" s="17"/>
      <c r="N492" s="17"/>
      <c r="O492" s="17"/>
      <c r="P492" s="17"/>
    </row>
    <row r="493" spans="2:16" x14ac:dyDescent="0.3">
      <c r="B493" s="149"/>
      <c r="C493" s="149"/>
      <c r="D493" s="149"/>
      <c r="E493" s="9"/>
      <c r="F493" s="72"/>
      <c r="G493" s="9"/>
      <c r="H493" s="17"/>
      <c r="I493" s="17"/>
      <c r="J493" s="72"/>
      <c r="K493" s="72"/>
      <c r="L493" s="17"/>
      <c r="M493" s="17"/>
      <c r="N493" s="17"/>
      <c r="O493" s="17"/>
      <c r="P493" s="17"/>
    </row>
    <row r="494" spans="2:16" x14ac:dyDescent="0.3">
      <c r="B494" s="149"/>
      <c r="C494" s="149"/>
      <c r="D494" s="149"/>
      <c r="E494" s="9"/>
      <c r="F494" s="72"/>
      <c r="G494" s="9"/>
      <c r="H494" s="17"/>
      <c r="I494" s="17"/>
      <c r="J494" s="72"/>
      <c r="K494" s="72"/>
      <c r="L494" s="17"/>
      <c r="M494" s="17"/>
      <c r="N494" s="17"/>
      <c r="O494" s="17"/>
      <c r="P494" s="17"/>
    </row>
    <row r="495" spans="2:16" x14ac:dyDescent="0.3">
      <c r="B495" s="149"/>
      <c r="C495" s="149"/>
      <c r="D495" s="149"/>
      <c r="E495" s="68"/>
      <c r="F495" s="79"/>
      <c r="G495" s="39"/>
      <c r="H495" s="79"/>
      <c r="I495" s="79"/>
      <c r="J495" s="39"/>
      <c r="K495" s="79"/>
      <c r="L495" s="79"/>
      <c r="M495" s="79"/>
      <c r="N495" s="79"/>
      <c r="O495" s="79"/>
      <c r="P495" s="79"/>
    </row>
    <row r="496" spans="2:16" x14ac:dyDescent="0.3">
      <c r="B496" s="149"/>
      <c r="C496" s="149"/>
      <c r="D496" s="149"/>
      <c r="E496" s="68"/>
      <c r="F496" s="79"/>
      <c r="G496" s="39"/>
      <c r="H496" s="79"/>
      <c r="I496" s="79"/>
      <c r="J496" s="39"/>
      <c r="K496" s="79"/>
      <c r="L496" s="79"/>
      <c r="M496" s="79"/>
      <c r="N496" s="79"/>
      <c r="O496" s="79"/>
      <c r="P496" s="79"/>
    </row>
    <row r="497" spans="1:16" x14ac:dyDescent="0.3">
      <c r="B497" s="149"/>
      <c r="C497" s="149"/>
      <c r="D497" s="149"/>
      <c r="E497" s="68"/>
      <c r="F497" s="79"/>
      <c r="G497" s="39"/>
      <c r="H497" s="79"/>
      <c r="I497" s="79"/>
      <c r="J497" s="39"/>
      <c r="K497" s="79"/>
      <c r="L497" s="79"/>
      <c r="M497" s="79"/>
      <c r="N497" s="79"/>
      <c r="O497" s="79"/>
      <c r="P497" s="79"/>
    </row>
    <row r="498" spans="1:16" x14ac:dyDescent="0.3">
      <c r="B498" s="149"/>
      <c r="C498" s="149"/>
      <c r="D498" s="149"/>
      <c r="E498" s="68"/>
      <c r="F498" s="79"/>
      <c r="G498" s="39"/>
      <c r="H498" s="79"/>
      <c r="I498" s="79"/>
      <c r="J498" s="39"/>
      <c r="K498" s="79"/>
      <c r="L498" s="79"/>
      <c r="M498" s="79"/>
      <c r="N498" s="79"/>
      <c r="O498" s="79"/>
      <c r="P498" s="79"/>
    </row>
    <row r="499" spans="1:16" x14ac:dyDescent="0.3">
      <c r="B499" s="149"/>
      <c r="C499" s="149"/>
      <c r="D499" s="149"/>
      <c r="E499" s="68"/>
      <c r="F499" s="79"/>
      <c r="G499" s="39"/>
      <c r="H499" s="79"/>
      <c r="I499" s="79"/>
      <c r="J499" s="39"/>
      <c r="K499" s="79"/>
      <c r="L499" s="79"/>
      <c r="M499" s="79"/>
      <c r="N499" s="79"/>
      <c r="O499" s="79"/>
      <c r="P499" s="79"/>
    </row>
    <row r="500" spans="1:16" x14ac:dyDescent="0.3">
      <c r="B500" s="149"/>
      <c r="C500" s="149"/>
      <c r="D500" s="149"/>
      <c r="E500" s="72"/>
      <c r="F500" s="72"/>
      <c r="G500" s="72"/>
      <c r="H500" s="72"/>
      <c r="I500" s="72"/>
      <c r="J500" s="39"/>
      <c r="K500" s="79"/>
      <c r="L500" s="79"/>
      <c r="M500" s="79"/>
      <c r="N500" s="79"/>
      <c r="O500" s="79"/>
      <c r="P500" s="79"/>
    </row>
    <row r="501" spans="1:16" x14ac:dyDescent="0.3">
      <c r="B501" s="149"/>
      <c r="C501" s="149"/>
      <c r="D501" s="149"/>
      <c r="E501" s="9"/>
      <c r="F501" s="72"/>
      <c r="G501" s="72"/>
      <c r="H501" s="72"/>
      <c r="I501" s="72"/>
      <c r="J501" s="72"/>
      <c r="K501" s="72"/>
      <c r="L501" s="17"/>
      <c r="M501" s="17"/>
      <c r="N501" s="17"/>
      <c r="O501" s="9"/>
      <c r="P501" s="63"/>
    </row>
    <row r="502" spans="1:16" x14ac:dyDescent="0.3">
      <c r="B502" s="149"/>
      <c r="C502" s="149"/>
      <c r="D502" s="149"/>
      <c r="E502" s="9"/>
      <c r="F502" s="72"/>
      <c r="G502" s="72"/>
      <c r="H502" s="72"/>
      <c r="I502" s="72"/>
      <c r="J502" s="72"/>
      <c r="K502" s="72"/>
      <c r="L502" s="17"/>
      <c r="M502" s="17"/>
      <c r="N502" s="17"/>
      <c r="O502" s="9"/>
      <c r="P502" s="63"/>
    </row>
    <row r="503" spans="1:16" x14ac:dyDescent="0.3">
      <c r="B503" s="149"/>
      <c r="C503" s="149"/>
      <c r="D503" s="149"/>
      <c r="E503" s="9"/>
      <c r="F503" s="72"/>
      <c r="G503" s="72"/>
      <c r="H503" s="72"/>
      <c r="I503" s="72"/>
      <c r="J503" s="72"/>
      <c r="K503" s="72"/>
      <c r="L503" s="17"/>
      <c r="M503" s="17"/>
      <c r="N503" s="17"/>
      <c r="O503" s="9"/>
      <c r="P503" s="63"/>
    </row>
    <row r="504" spans="1:16" x14ac:dyDescent="0.3">
      <c r="B504" s="149"/>
      <c r="C504" s="149"/>
      <c r="D504" s="149"/>
      <c r="E504" s="9"/>
      <c r="F504" s="72"/>
      <c r="G504" s="72"/>
      <c r="H504" s="72"/>
      <c r="I504" s="72"/>
      <c r="J504" s="72"/>
      <c r="K504" s="72"/>
      <c r="L504" s="17"/>
      <c r="M504" s="17"/>
      <c r="N504" s="17"/>
      <c r="O504" s="9"/>
      <c r="P504" s="63"/>
    </row>
    <row r="505" spans="1:16" x14ac:dyDescent="0.3">
      <c r="B505" s="150" t="s">
        <v>29</v>
      </c>
      <c r="C505" s="150"/>
      <c r="D505" s="150" t="s">
        <v>29</v>
      </c>
      <c r="E505" s="150"/>
      <c r="F505" s="150"/>
      <c r="G505" s="150"/>
      <c r="H505" s="150"/>
      <c r="I505" s="150"/>
      <c r="J505" s="54">
        <f t="shared" ref="J505:P505" si="27">SUM(J485:J504)</f>
        <v>0</v>
      </c>
      <c r="K505" s="54">
        <f t="shared" si="27"/>
        <v>0</v>
      </c>
      <c r="L505" s="54">
        <f t="shared" si="27"/>
        <v>0</v>
      </c>
      <c r="M505" s="54">
        <f t="shared" si="27"/>
        <v>0</v>
      </c>
      <c r="N505" s="54">
        <f t="shared" si="27"/>
        <v>0</v>
      </c>
      <c r="O505" s="54">
        <f t="shared" si="27"/>
        <v>0</v>
      </c>
      <c r="P505" s="54">
        <f t="shared" si="27"/>
        <v>0</v>
      </c>
    </row>
    <row r="507" spans="1:16" x14ac:dyDescent="0.3">
      <c r="A507" s="34" t="s">
        <v>205</v>
      </c>
      <c r="B507" s="44" t="s">
        <v>168</v>
      </c>
      <c r="C507" s="44"/>
      <c r="D507" s="44"/>
    </row>
    <row r="509" spans="1:16" ht="14.1" customHeight="1" x14ac:dyDescent="0.3">
      <c r="B509" s="15"/>
      <c r="C509" s="15"/>
      <c r="D509" s="15"/>
      <c r="E509" s="116" t="s">
        <v>140</v>
      </c>
      <c r="F509" s="116" t="s">
        <v>8</v>
      </c>
      <c r="G509" s="116" t="s">
        <v>200</v>
      </c>
      <c r="H509" s="116" t="s">
        <v>141</v>
      </c>
      <c r="I509" s="116"/>
      <c r="J509" s="116" t="s">
        <v>201</v>
      </c>
      <c r="K509" s="124" t="s">
        <v>202</v>
      </c>
      <c r="L509" s="116" t="s">
        <v>203</v>
      </c>
      <c r="M509" s="116"/>
      <c r="N509" s="116"/>
      <c r="O509" s="116"/>
      <c r="P509" s="116"/>
    </row>
    <row r="510" spans="1:16" ht="14.1" customHeight="1" x14ac:dyDescent="0.3">
      <c r="B510" s="116" t="s">
        <v>5</v>
      </c>
      <c r="C510" s="116"/>
      <c r="D510" s="116"/>
      <c r="E510" s="116"/>
      <c r="F510" s="116"/>
      <c r="G510" s="116"/>
      <c r="H510" s="9" t="s">
        <v>7</v>
      </c>
      <c r="I510" s="9" t="s">
        <v>6</v>
      </c>
      <c r="J510" s="116"/>
      <c r="K510" s="116"/>
      <c r="L510" s="9" t="s">
        <v>8</v>
      </c>
      <c r="M510" s="9" t="s">
        <v>6</v>
      </c>
      <c r="N510" s="9" t="s">
        <v>9</v>
      </c>
      <c r="O510" s="9" t="s">
        <v>10</v>
      </c>
      <c r="P510" s="9" t="s">
        <v>201</v>
      </c>
    </row>
    <row r="511" spans="1:16" x14ac:dyDescent="0.3">
      <c r="B511" s="116"/>
      <c r="C511" s="116"/>
      <c r="D511" s="116"/>
      <c r="E511" s="116"/>
      <c r="F511" s="17" t="s">
        <v>13</v>
      </c>
      <c r="G511" s="116"/>
      <c r="H511" s="17" t="s">
        <v>13</v>
      </c>
      <c r="I511" s="17" t="s">
        <v>13</v>
      </c>
      <c r="J511" s="17" t="s">
        <v>146</v>
      </c>
      <c r="K511" s="17" t="s">
        <v>14</v>
      </c>
      <c r="L511" s="17" t="s">
        <v>13</v>
      </c>
      <c r="M511" s="17" t="s">
        <v>13</v>
      </c>
      <c r="N511" s="17" t="s">
        <v>13</v>
      </c>
      <c r="O511" s="17" t="s">
        <v>14</v>
      </c>
      <c r="P511" s="17" t="s">
        <v>146</v>
      </c>
    </row>
    <row r="512" spans="1:16" x14ac:dyDescent="0.3">
      <c r="B512" s="149"/>
      <c r="C512" s="149"/>
      <c r="D512" s="149"/>
      <c r="E512" s="9"/>
      <c r="F512" s="72"/>
      <c r="G512" s="9"/>
      <c r="H512" s="17"/>
      <c r="I512" s="17"/>
      <c r="J512" s="72"/>
      <c r="K512" s="72"/>
      <c r="L512" s="17"/>
      <c r="M512" s="17"/>
      <c r="N512" s="17"/>
      <c r="O512" s="17"/>
      <c r="P512" s="17"/>
    </row>
    <row r="513" spans="2:16" x14ac:dyDescent="0.3">
      <c r="B513" s="149"/>
      <c r="C513" s="149"/>
      <c r="D513" s="149"/>
      <c r="E513" s="9"/>
      <c r="F513" s="72"/>
      <c r="G513" s="9"/>
      <c r="H513" s="17"/>
      <c r="I513" s="17"/>
      <c r="J513" s="72"/>
      <c r="K513" s="72"/>
      <c r="L513" s="17"/>
      <c r="M513" s="17"/>
      <c r="N513" s="17"/>
      <c r="O513" s="17"/>
      <c r="P513" s="17"/>
    </row>
    <row r="514" spans="2:16" x14ac:dyDescent="0.3">
      <c r="B514" s="149"/>
      <c r="C514" s="149"/>
      <c r="D514" s="149"/>
      <c r="E514" s="9"/>
      <c r="F514" s="72"/>
      <c r="G514" s="9"/>
      <c r="H514" s="17"/>
      <c r="I514" s="17"/>
      <c r="J514" s="72"/>
      <c r="K514" s="72"/>
      <c r="L514" s="17"/>
      <c r="M514" s="17"/>
      <c r="N514" s="17"/>
      <c r="O514" s="17"/>
      <c r="P514" s="17"/>
    </row>
    <row r="515" spans="2:16" x14ac:dyDescent="0.3">
      <c r="B515" s="149"/>
      <c r="C515" s="149"/>
      <c r="D515" s="149"/>
      <c r="E515" s="9"/>
      <c r="F515" s="72"/>
      <c r="G515" s="9"/>
      <c r="H515" s="17"/>
      <c r="I515" s="17"/>
      <c r="J515" s="72"/>
      <c r="K515" s="72"/>
      <c r="L515" s="17"/>
      <c r="M515" s="17"/>
      <c r="N515" s="17"/>
      <c r="O515" s="17"/>
      <c r="P515" s="17"/>
    </row>
    <row r="516" spans="2:16" x14ac:dyDescent="0.3">
      <c r="B516" s="149"/>
      <c r="C516" s="149"/>
      <c r="D516" s="149"/>
      <c r="E516" s="9"/>
      <c r="F516" s="72"/>
      <c r="G516" s="9"/>
      <c r="H516" s="17"/>
      <c r="I516" s="17"/>
      <c r="J516" s="72"/>
      <c r="K516" s="72"/>
      <c r="L516" s="17"/>
      <c r="M516" s="17"/>
      <c r="N516" s="17"/>
      <c r="O516" s="17"/>
      <c r="P516" s="17"/>
    </row>
    <row r="517" spans="2:16" x14ac:dyDescent="0.3">
      <c r="B517" s="149"/>
      <c r="C517" s="149"/>
      <c r="D517" s="149"/>
      <c r="E517" s="9"/>
      <c r="F517" s="72"/>
      <c r="G517" s="9"/>
      <c r="H517" s="17"/>
      <c r="I517" s="17"/>
      <c r="J517" s="72"/>
      <c r="K517" s="72"/>
      <c r="L517" s="17"/>
      <c r="M517" s="17"/>
      <c r="N517" s="17"/>
      <c r="O517" s="17"/>
      <c r="P517" s="17"/>
    </row>
    <row r="518" spans="2:16" x14ac:dyDescent="0.3">
      <c r="B518" s="149"/>
      <c r="C518" s="149"/>
      <c r="D518" s="149"/>
      <c r="E518" s="9"/>
      <c r="F518" s="72"/>
      <c r="G518" s="9"/>
      <c r="H518" s="17"/>
      <c r="I518" s="17"/>
      <c r="J518" s="72"/>
      <c r="K518" s="72"/>
      <c r="L518" s="17"/>
      <c r="M518" s="17"/>
      <c r="N518" s="17"/>
      <c r="O518" s="17"/>
      <c r="P518" s="17"/>
    </row>
    <row r="519" spans="2:16" x14ac:dyDescent="0.3">
      <c r="B519" s="149"/>
      <c r="C519" s="149"/>
      <c r="D519" s="149"/>
      <c r="E519" s="9"/>
      <c r="F519" s="72"/>
      <c r="G519" s="9"/>
      <c r="H519" s="17"/>
      <c r="I519" s="17"/>
      <c r="J519" s="72"/>
      <c r="K519" s="72"/>
      <c r="L519" s="17"/>
      <c r="M519" s="17"/>
      <c r="N519" s="17"/>
      <c r="O519" s="17"/>
      <c r="P519" s="17"/>
    </row>
    <row r="520" spans="2:16" x14ac:dyDescent="0.3">
      <c r="B520" s="149"/>
      <c r="C520" s="149"/>
      <c r="D520" s="149"/>
      <c r="E520" s="9"/>
      <c r="F520" s="72"/>
      <c r="G520" s="9"/>
      <c r="H520" s="17"/>
      <c r="I520" s="17"/>
      <c r="J520" s="72"/>
      <c r="K520" s="72"/>
      <c r="L520" s="17"/>
      <c r="M520" s="17"/>
      <c r="N520" s="17"/>
      <c r="O520" s="17"/>
      <c r="P520" s="17"/>
    </row>
    <row r="521" spans="2:16" x14ac:dyDescent="0.3">
      <c r="B521" s="149"/>
      <c r="C521" s="149"/>
      <c r="D521" s="149"/>
      <c r="E521" s="9"/>
      <c r="F521" s="72"/>
      <c r="G521" s="9"/>
      <c r="H521" s="17"/>
      <c r="I521" s="17"/>
      <c r="J521" s="72"/>
      <c r="K521" s="72"/>
      <c r="L521" s="17"/>
      <c r="M521" s="17"/>
      <c r="N521" s="17"/>
      <c r="O521" s="17"/>
      <c r="P521" s="17"/>
    </row>
    <row r="522" spans="2:16" x14ac:dyDescent="0.3">
      <c r="B522" s="149"/>
      <c r="C522" s="149"/>
      <c r="D522" s="149"/>
      <c r="E522" s="68"/>
      <c r="F522" s="79"/>
      <c r="G522" s="39"/>
      <c r="H522" s="79"/>
      <c r="I522" s="79"/>
      <c r="J522" s="39"/>
      <c r="K522" s="79"/>
      <c r="L522" s="79"/>
      <c r="M522" s="79"/>
      <c r="N522" s="79"/>
      <c r="O522" s="79"/>
      <c r="P522" s="79"/>
    </row>
    <row r="523" spans="2:16" x14ac:dyDescent="0.3">
      <c r="B523" s="149"/>
      <c r="C523" s="149"/>
      <c r="D523" s="149"/>
      <c r="E523" s="68"/>
      <c r="F523" s="79"/>
      <c r="G523" s="39"/>
      <c r="H523" s="79"/>
      <c r="I523" s="79"/>
      <c r="J523" s="39"/>
      <c r="K523" s="79"/>
      <c r="L523" s="79"/>
      <c r="M523" s="79"/>
      <c r="N523" s="79"/>
      <c r="O523" s="79"/>
      <c r="P523" s="79"/>
    </row>
    <row r="524" spans="2:16" x14ac:dyDescent="0.3">
      <c r="B524" s="149"/>
      <c r="C524" s="149"/>
      <c r="D524" s="149"/>
      <c r="E524" s="68"/>
      <c r="F524" s="79"/>
      <c r="G524" s="39"/>
      <c r="H524" s="79"/>
      <c r="I524" s="79"/>
      <c r="J524" s="39"/>
      <c r="K524" s="79"/>
      <c r="L524" s="79"/>
      <c r="M524" s="79"/>
      <c r="N524" s="79"/>
      <c r="O524" s="79"/>
      <c r="P524" s="79"/>
    </row>
    <row r="525" spans="2:16" x14ac:dyDescent="0.3">
      <c r="B525" s="149"/>
      <c r="C525" s="149"/>
      <c r="D525" s="149"/>
      <c r="E525" s="68"/>
      <c r="F525" s="79"/>
      <c r="G525" s="39"/>
      <c r="H525" s="79"/>
      <c r="I525" s="79"/>
      <c r="J525" s="39"/>
      <c r="K525" s="79"/>
      <c r="L525" s="79"/>
      <c r="M525" s="79"/>
      <c r="N525" s="79"/>
      <c r="O525" s="79"/>
      <c r="P525" s="79"/>
    </row>
    <row r="526" spans="2:16" x14ac:dyDescent="0.3">
      <c r="B526" s="149"/>
      <c r="C526" s="149"/>
      <c r="D526" s="149"/>
      <c r="E526" s="68"/>
      <c r="F526" s="79"/>
      <c r="G526" s="39"/>
      <c r="H526" s="79"/>
      <c r="I526" s="79"/>
      <c r="J526" s="39"/>
      <c r="K526" s="79"/>
      <c r="L526" s="79"/>
      <c r="M526" s="79"/>
      <c r="N526" s="79"/>
      <c r="O526" s="79"/>
      <c r="P526" s="79"/>
    </row>
    <row r="527" spans="2:16" x14ac:dyDescent="0.3">
      <c r="B527" s="149"/>
      <c r="C527" s="149"/>
      <c r="D527" s="149"/>
      <c r="E527" s="72"/>
      <c r="F527" s="72"/>
      <c r="G527" s="72"/>
      <c r="H527" s="72"/>
      <c r="I527" s="72"/>
      <c r="J527" s="39"/>
      <c r="K527" s="79"/>
      <c r="L527" s="79"/>
      <c r="M527" s="79"/>
      <c r="N527" s="79"/>
      <c r="O527" s="79"/>
      <c r="P527" s="79"/>
    </row>
    <row r="528" spans="2:16" x14ac:dyDescent="0.3">
      <c r="B528" s="149"/>
      <c r="C528" s="149"/>
      <c r="D528" s="149"/>
      <c r="E528" s="9"/>
      <c r="F528" s="72"/>
      <c r="G528" s="72"/>
      <c r="H528" s="72"/>
      <c r="I528" s="72"/>
      <c r="J528" s="72"/>
      <c r="K528" s="72"/>
      <c r="L528" s="17"/>
      <c r="M528" s="17"/>
      <c r="N528" s="17"/>
      <c r="O528" s="9"/>
      <c r="P528" s="63"/>
    </row>
    <row r="529" spans="1:16" x14ac:dyDescent="0.3">
      <c r="B529" s="149"/>
      <c r="C529" s="149"/>
      <c r="D529" s="149"/>
      <c r="E529" s="9"/>
      <c r="F529" s="72"/>
      <c r="G529" s="72"/>
      <c r="H529" s="72"/>
      <c r="I529" s="72"/>
      <c r="J529" s="72"/>
      <c r="K529" s="72"/>
      <c r="L529" s="17"/>
      <c r="M529" s="17"/>
      <c r="N529" s="17"/>
      <c r="O529" s="9"/>
      <c r="P529" s="63"/>
    </row>
    <row r="530" spans="1:16" x14ac:dyDescent="0.3">
      <c r="B530" s="149"/>
      <c r="C530" s="149"/>
      <c r="D530" s="149"/>
      <c r="E530" s="9"/>
      <c r="F530" s="72"/>
      <c r="G530" s="72"/>
      <c r="H530" s="72"/>
      <c r="I530" s="72"/>
      <c r="J530" s="72"/>
      <c r="K530" s="72"/>
      <c r="L530" s="17"/>
      <c r="M530" s="17"/>
      <c r="N530" s="17"/>
      <c r="O530" s="9"/>
      <c r="P530" s="63"/>
    </row>
    <row r="531" spans="1:16" x14ac:dyDescent="0.3">
      <c r="B531" s="149"/>
      <c r="C531" s="149"/>
      <c r="D531" s="149"/>
      <c r="E531" s="9"/>
      <c r="F531" s="72"/>
      <c r="G531" s="72"/>
      <c r="H531" s="72"/>
      <c r="I531" s="72"/>
      <c r="J531" s="72"/>
      <c r="K531" s="72"/>
      <c r="L531" s="17"/>
      <c r="M531" s="17"/>
      <c r="N531" s="17"/>
      <c r="O531" s="9"/>
      <c r="P531" s="63"/>
    </row>
    <row r="532" spans="1:16" x14ac:dyDescent="0.3">
      <c r="B532" s="150" t="s">
        <v>29</v>
      </c>
      <c r="C532" s="150"/>
      <c r="D532" s="150" t="s">
        <v>29</v>
      </c>
      <c r="E532" s="150"/>
      <c r="F532" s="150"/>
      <c r="G532" s="150"/>
      <c r="H532" s="150"/>
      <c r="I532" s="150"/>
      <c r="J532" s="54">
        <f t="shared" ref="J532:P532" si="28">SUM(J512:J531)</f>
        <v>0</v>
      </c>
      <c r="K532" s="54">
        <f t="shared" si="28"/>
        <v>0</v>
      </c>
      <c r="L532" s="54">
        <f t="shared" si="28"/>
        <v>0</v>
      </c>
      <c r="M532" s="54">
        <f t="shared" si="28"/>
        <v>0</v>
      </c>
      <c r="N532" s="54">
        <f t="shared" si="28"/>
        <v>0</v>
      </c>
      <c r="O532" s="54">
        <f t="shared" si="28"/>
        <v>0</v>
      </c>
      <c r="P532" s="54">
        <f t="shared" si="28"/>
        <v>0</v>
      </c>
    </row>
    <row r="534" spans="1:16" x14ac:dyDescent="0.3">
      <c r="A534" s="34" t="s">
        <v>206</v>
      </c>
      <c r="B534" s="151" t="s">
        <v>176</v>
      </c>
      <c r="C534" s="151"/>
      <c r="D534" s="151"/>
      <c r="E534" s="151"/>
    </row>
    <row r="536" spans="1:16" ht="14.1" customHeight="1" x14ac:dyDescent="0.3">
      <c r="B536" s="15"/>
      <c r="C536" s="15"/>
      <c r="D536" s="15"/>
      <c r="E536" s="116" t="s">
        <v>140</v>
      </c>
      <c r="F536" s="116" t="s">
        <v>8</v>
      </c>
      <c r="G536" s="116" t="s">
        <v>200</v>
      </c>
      <c r="H536" s="116" t="s">
        <v>141</v>
      </c>
      <c r="I536" s="116"/>
      <c r="J536" s="116" t="s">
        <v>201</v>
      </c>
      <c r="K536" s="124" t="s">
        <v>202</v>
      </c>
      <c r="L536" s="116" t="s">
        <v>203</v>
      </c>
      <c r="M536" s="116"/>
      <c r="N536" s="116"/>
      <c r="O536" s="116"/>
      <c r="P536" s="116"/>
    </row>
    <row r="537" spans="1:16" ht="14.1" customHeight="1" x14ac:dyDescent="0.3">
      <c r="B537" s="116" t="s">
        <v>5</v>
      </c>
      <c r="C537" s="116"/>
      <c r="D537" s="116"/>
      <c r="E537" s="116"/>
      <c r="F537" s="116"/>
      <c r="G537" s="116"/>
      <c r="H537" s="9" t="s">
        <v>7</v>
      </c>
      <c r="I537" s="9" t="s">
        <v>6</v>
      </c>
      <c r="J537" s="116"/>
      <c r="K537" s="116"/>
      <c r="L537" s="9" t="s">
        <v>8</v>
      </c>
      <c r="M537" s="9" t="s">
        <v>6</v>
      </c>
      <c r="N537" s="9" t="s">
        <v>9</v>
      </c>
      <c r="O537" s="9" t="s">
        <v>10</v>
      </c>
      <c r="P537" s="9" t="s">
        <v>201</v>
      </c>
    </row>
    <row r="538" spans="1:16" x14ac:dyDescent="0.3">
      <c r="B538" s="116"/>
      <c r="C538" s="116"/>
      <c r="D538" s="116"/>
      <c r="E538" s="116"/>
      <c r="F538" s="17" t="s">
        <v>13</v>
      </c>
      <c r="G538" s="116"/>
      <c r="H538" s="17" t="s">
        <v>13</v>
      </c>
      <c r="I538" s="17" t="s">
        <v>13</v>
      </c>
      <c r="J538" s="17" t="s">
        <v>146</v>
      </c>
      <c r="K538" s="17" t="s">
        <v>14</v>
      </c>
      <c r="L538" s="17" t="s">
        <v>13</v>
      </c>
      <c r="M538" s="17" t="s">
        <v>13</v>
      </c>
      <c r="N538" s="17" t="s">
        <v>13</v>
      </c>
      <c r="O538" s="17" t="s">
        <v>14</v>
      </c>
      <c r="P538" s="17" t="s">
        <v>146</v>
      </c>
    </row>
    <row r="539" spans="1:16" x14ac:dyDescent="0.3">
      <c r="B539" s="149"/>
      <c r="C539" s="149"/>
      <c r="D539" s="149"/>
      <c r="E539" s="9"/>
      <c r="F539" s="72"/>
      <c r="G539" s="9"/>
      <c r="H539" s="17"/>
      <c r="I539" s="17"/>
      <c r="J539" s="72"/>
      <c r="K539" s="72"/>
      <c r="L539" s="17"/>
      <c r="M539" s="17"/>
      <c r="N539" s="17"/>
      <c r="O539" s="17"/>
      <c r="P539" s="17"/>
    </row>
    <row r="540" spans="1:16" x14ac:dyDescent="0.3">
      <c r="B540" s="149"/>
      <c r="C540" s="149"/>
      <c r="D540" s="149"/>
      <c r="E540" s="9"/>
      <c r="F540" s="72"/>
      <c r="G540" s="9"/>
      <c r="H540" s="17"/>
      <c r="I540" s="17"/>
      <c r="J540" s="72"/>
      <c r="K540" s="72"/>
      <c r="L540" s="17"/>
      <c r="M540" s="17"/>
      <c r="N540" s="17"/>
      <c r="O540" s="17"/>
      <c r="P540" s="17"/>
    </row>
    <row r="541" spans="1:16" x14ac:dyDescent="0.3">
      <c r="B541" s="149"/>
      <c r="C541" s="149"/>
      <c r="D541" s="149"/>
      <c r="E541" s="9"/>
      <c r="F541" s="72"/>
      <c r="G541" s="9"/>
      <c r="H541" s="17"/>
      <c r="I541" s="17"/>
      <c r="J541" s="72"/>
      <c r="K541" s="72"/>
      <c r="L541" s="17"/>
      <c r="M541" s="17"/>
      <c r="N541" s="17"/>
      <c r="O541" s="17"/>
      <c r="P541" s="17"/>
    </row>
    <row r="542" spans="1:16" x14ac:dyDescent="0.3">
      <c r="B542" s="149"/>
      <c r="C542" s="149"/>
      <c r="D542" s="149"/>
      <c r="E542" s="9"/>
      <c r="F542" s="72"/>
      <c r="G542" s="9"/>
      <c r="H542" s="17"/>
      <c r="I542" s="17"/>
      <c r="J542" s="72"/>
      <c r="K542" s="72"/>
      <c r="L542" s="17"/>
      <c r="M542" s="17"/>
      <c r="N542" s="17"/>
      <c r="O542" s="17"/>
      <c r="P542" s="17"/>
    </row>
    <row r="543" spans="1:16" x14ac:dyDescent="0.3">
      <c r="B543" s="149"/>
      <c r="C543" s="149"/>
      <c r="D543" s="149"/>
      <c r="E543" s="9"/>
      <c r="F543" s="72"/>
      <c r="G543" s="9"/>
      <c r="H543" s="17"/>
      <c r="I543" s="17"/>
      <c r="J543" s="72"/>
      <c r="K543" s="72"/>
      <c r="L543" s="17"/>
      <c r="M543" s="17"/>
      <c r="N543" s="17"/>
      <c r="O543" s="17"/>
      <c r="P543" s="17"/>
    </row>
    <row r="544" spans="1:16" x14ac:dyDescent="0.3">
      <c r="B544" s="149"/>
      <c r="C544" s="149"/>
      <c r="D544" s="149"/>
      <c r="E544" s="9"/>
      <c r="F544" s="72"/>
      <c r="G544" s="9"/>
      <c r="H544" s="17"/>
      <c r="I544" s="17"/>
      <c r="J544" s="72"/>
      <c r="K544" s="72"/>
      <c r="L544" s="17"/>
      <c r="M544" s="17"/>
      <c r="N544" s="17"/>
      <c r="O544" s="17"/>
      <c r="P544" s="17"/>
    </row>
    <row r="545" spans="2:16" x14ac:dyDescent="0.3">
      <c r="B545" s="149"/>
      <c r="C545" s="149"/>
      <c r="D545" s="149"/>
      <c r="E545" s="9"/>
      <c r="F545" s="72"/>
      <c r="G545" s="9"/>
      <c r="H545" s="17"/>
      <c r="I545" s="17"/>
      <c r="J545" s="72"/>
      <c r="K545" s="72"/>
      <c r="L545" s="17"/>
      <c r="M545" s="17"/>
      <c r="N545" s="17"/>
      <c r="O545" s="17"/>
      <c r="P545" s="17"/>
    </row>
    <row r="546" spans="2:16" x14ac:dyDescent="0.3">
      <c r="B546" s="149"/>
      <c r="C546" s="149"/>
      <c r="D546" s="149"/>
      <c r="E546" s="9"/>
      <c r="F546" s="72"/>
      <c r="G546" s="9"/>
      <c r="H546" s="17"/>
      <c r="I546" s="17"/>
      <c r="J546" s="72"/>
      <c r="K546" s="72"/>
      <c r="L546" s="17"/>
      <c r="M546" s="17"/>
      <c r="N546" s="17"/>
      <c r="O546" s="17"/>
      <c r="P546" s="17"/>
    </row>
    <row r="547" spans="2:16" x14ac:dyDescent="0.3">
      <c r="B547" s="149"/>
      <c r="C547" s="149"/>
      <c r="D547" s="149"/>
      <c r="E547" s="9"/>
      <c r="F547" s="72"/>
      <c r="G547" s="9"/>
      <c r="H547" s="17"/>
      <c r="I547" s="17"/>
      <c r="J547" s="72"/>
      <c r="K547" s="72"/>
      <c r="L547" s="17"/>
      <c r="M547" s="17"/>
      <c r="N547" s="17"/>
      <c r="O547" s="17"/>
      <c r="P547" s="17"/>
    </row>
    <row r="548" spans="2:16" x14ac:dyDescent="0.3">
      <c r="B548" s="149"/>
      <c r="C548" s="149"/>
      <c r="D548" s="149"/>
      <c r="E548" s="9"/>
      <c r="F548" s="72"/>
      <c r="G548" s="9"/>
      <c r="H548" s="17"/>
      <c r="I548" s="17"/>
      <c r="J548" s="72"/>
      <c r="K548" s="72"/>
      <c r="L548" s="17"/>
      <c r="M548" s="17"/>
      <c r="N548" s="17"/>
      <c r="O548" s="17"/>
      <c r="P548" s="17"/>
    </row>
    <row r="549" spans="2:16" x14ac:dyDescent="0.3">
      <c r="B549" s="149"/>
      <c r="C549" s="149"/>
      <c r="D549" s="149"/>
      <c r="E549" s="68"/>
      <c r="F549" s="79"/>
      <c r="G549" s="39"/>
      <c r="H549" s="79"/>
      <c r="I549" s="79"/>
      <c r="J549" s="39"/>
      <c r="K549" s="79"/>
      <c r="L549" s="79"/>
      <c r="M549" s="79"/>
      <c r="N549" s="79"/>
      <c r="O549" s="79"/>
      <c r="P549" s="79"/>
    </row>
    <row r="550" spans="2:16" x14ac:dyDescent="0.3">
      <c r="B550" s="149"/>
      <c r="C550" s="149"/>
      <c r="D550" s="149"/>
      <c r="E550" s="68"/>
      <c r="F550" s="79"/>
      <c r="G550" s="39"/>
      <c r="H550" s="79"/>
      <c r="I550" s="79"/>
      <c r="J550" s="39"/>
      <c r="K550" s="79"/>
      <c r="L550" s="79"/>
      <c r="M550" s="79"/>
      <c r="N550" s="79"/>
      <c r="O550" s="79"/>
      <c r="P550" s="79"/>
    </row>
    <row r="551" spans="2:16" x14ac:dyDescent="0.3">
      <c r="B551" s="149"/>
      <c r="C551" s="149"/>
      <c r="D551" s="149"/>
      <c r="E551" s="68"/>
      <c r="F551" s="79"/>
      <c r="G551" s="39"/>
      <c r="H551" s="79"/>
      <c r="I551" s="79"/>
      <c r="J551" s="39"/>
      <c r="K551" s="79"/>
      <c r="L551" s="79"/>
      <c r="M551" s="79"/>
      <c r="N551" s="79"/>
      <c r="O551" s="79"/>
      <c r="P551" s="79"/>
    </row>
    <row r="552" spans="2:16" x14ac:dyDescent="0.3">
      <c r="B552" s="149"/>
      <c r="C552" s="149"/>
      <c r="D552" s="149"/>
      <c r="E552" s="68"/>
      <c r="F552" s="79"/>
      <c r="G552" s="39"/>
      <c r="H552" s="79"/>
      <c r="I552" s="79"/>
      <c r="J552" s="39"/>
      <c r="K552" s="79"/>
      <c r="L552" s="79"/>
      <c r="M552" s="79"/>
      <c r="N552" s="79"/>
      <c r="O552" s="79"/>
      <c r="P552" s="79"/>
    </row>
    <row r="553" spans="2:16" x14ac:dyDescent="0.3">
      <c r="B553" s="149"/>
      <c r="C553" s="149"/>
      <c r="D553" s="149"/>
      <c r="E553" s="68"/>
      <c r="F553" s="79"/>
      <c r="G553" s="39"/>
      <c r="H553" s="79"/>
      <c r="I553" s="79"/>
      <c r="J553" s="39"/>
      <c r="K553" s="79"/>
      <c r="L553" s="79"/>
      <c r="M553" s="79"/>
      <c r="N553" s="79"/>
      <c r="O553" s="79"/>
      <c r="P553" s="79"/>
    </row>
    <row r="554" spans="2:16" x14ac:dyDescent="0.3">
      <c r="B554" s="149"/>
      <c r="C554" s="149"/>
      <c r="D554" s="149"/>
      <c r="E554" s="72"/>
      <c r="F554" s="72"/>
      <c r="G554" s="72"/>
      <c r="H554" s="72"/>
      <c r="I554" s="72"/>
      <c r="J554" s="39"/>
      <c r="K554" s="79"/>
      <c r="L554" s="79"/>
      <c r="M554" s="79"/>
      <c r="N554" s="79"/>
      <c r="O554" s="79"/>
      <c r="P554" s="79"/>
    </row>
    <row r="555" spans="2:16" x14ac:dyDescent="0.3">
      <c r="B555" s="149"/>
      <c r="C555" s="149"/>
      <c r="D555" s="149"/>
      <c r="E555" s="9"/>
      <c r="F555" s="72"/>
      <c r="G555" s="72"/>
      <c r="H555" s="72"/>
      <c r="I555" s="72"/>
      <c r="J555" s="72"/>
      <c r="K555" s="72"/>
      <c r="L555" s="17"/>
      <c r="M555" s="17"/>
      <c r="N555" s="17"/>
      <c r="O555" s="9"/>
      <c r="P555" s="63"/>
    </row>
    <row r="556" spans="2:16" x14ac:dyDescent="0.3">
      <c r="B556" s="149"/>
      <c r="C556" s="149"/>
      <c r="D556" s="149"/>
      <c r="E556" s="9"/>
      <c r="F556" s="72"/>
      <c r="G556" s="72"/>
      <c r="H556" s="72"/>
      <c r="I556" s="72"/>
      <c r="J556" s="72"/>
      <c r="K556" s="72"/>
      <c r="L556" s="17"/>
      <c r="M556" s="17"/>
      <c r="N556" s="17"/>
      <c r="O556" s="9"/>
      <c r="P556" s="63"/>
    </row>
    <row r="557" spans="2:16" x14ac:dyDescent="0.3">
      <c r="B557" s="149"/>
      <c r="C557" s="149"/>
      <c r="D557" s="149"/>
      <c r="E557" s="9"/>
      <c r="F557" s="72"/>
      <c r="G557" s="72"/>
      <c r="H557" s="72"/>
      <c r="I557" s="72"/>
      <c r="J557" s="72"/>
      <c r="K557" s="72"/>
      <c r="L557" s="17"/>
      <c r="M557" s="17"/>
      <c r="N557" s="17"/>
      <c r="O557" s="9"/>
      <c r="P557" s="63"/>
    </row>
    <row r="558" spans="2:16" x14ac:dyDescent="0.3">
      <c r="B558" s="149"/>
      <c r="C558" s="149"/>
      <c r="D558" s="149"/>
      <c r="E558" s="9"/>
      <c r="F558" s="72"/>
      <c r="G558" s="72"/>
      <c r="H558" s="72"/>
      <c r="I558" s="72"/>
      <c r="J558" s="72"/>
      <c r="K558" s="72"/>
      <c r="L558" s="17"/>
      <c r="M558" s="17"/>
      <c r="N558" s="17"/>
      <c r="O558" s="9"/>
      <c r="P558" s="63"/>
    </row>
    <row r="559" spans="2:16" x14ac:dyDescent="0.3">
      <c r="B559" s="150" t="s">
        <v>29</v>
      </c>
      <c r="C559" s="150"/>
      <c r="D559" s="150" t="s">
        <v>29</v>
      </c>
      <c r="E559" s="150"/>
      <c r="F559" s="150"/>
      <c r="G559" s="150"/>
      <c r="H559" s="150"/>
      <c r="I559" s="150"/>
      <c r="J559" s="54">
        <f t="shared" ref="J559:P559" si="29">SUM(J539:J558)</f>
        <v>0</v>
      </c>
      <c r="K559" s="54">
        <f t="shared" si="29"/>
        <v>0</v>
      </c>
      <c r="L559" s="54">
        <f t="shared" si="29"/>
        <v>0</v>
      </c>
      <c r="M559" s="54">
        <f t="shared" si="29"/>
        <v>0</v>
      </c>
      <c r="N559" s="54">
        <f t="shared" si="29"/>
        <v>0</v>
      </c>
      <c r="O559" s="54">
        <f t="shared" si="29"/>
        <v>0</v>
      </c>
      <c r="P559" s="54">
        <f t="shared" si="29"/>
        <v>0</v>
      </c>
    </row>
    <row r="561" spans="1:16" x14ac:dyDescent="0.3">
      <c r="A561" s="34" t="s">
        <v>207</v>
      </c>
      <c r="B561" s="151" t="s">
        <v>178</v>
      </c>
      <c r="C561" s="151"/>
      <c r="D561" s="151"/>
      <c r="E561" s="151"/>
    </row>
    <row r="563" spans="1:16" ht="14.1" customHeight="1" x14ac:dyDescent="0.3">
      <c r="B563" s="15"/>
      <c r="C563" s="15"/>
      <c r="D563" s="15"/>
      <c r="E563" s="116" t="s">
        <v>140</v>
      </c>
      <c r="F563" s="116" t="s">
        <v>8</v>
      </c>
      <c r="G563" s="116" t="s">
        <v>200</v>
      </c>
      <c r="H563" s="116" t="s">
        <v>141</v>
      </c>
      <c r="I563" s="116"/>
      <c r="J563" s="116" t="s">
        <v>201</v>
      </c>
      <c r="K563" s="124" t="s">
        <v>202</v>
      </c>
      <c r="L563" s="116" t="s">
        <v>203</v>
      </c>
      <c r="M563" s="116"/>
      <c r="N563" s="116"/>
      <c r="O563" s="116"/>
      <c r="P563" s="116"/>
    </row>
    <row r="564" spans="1:16" ht="14.1" customHeight="1" x14ac:dyDescent="0.3">
      <c r="B564" s="116" t="s">
        <v>5</v>
      </c>
      <c r="C564" s="116"/>
      <c r="D564" s="116"/>
      <c r="E564" s="116"/>
      <c r="F564" s="116"/>
      <c r="G564" s="116"/>
      <c r="H564" s="9" t="s">
        <v>7</v>
      </c>
      <c r="I564" s="9" t="s">
        <v>6</v>
      </c>
      <c r="J564" s="116"/>
      <c r="K564" s="116"/>
      <c r="L564" s="9" t="s">
        <v>8</v>
      </c>
      <c r="M564" s="9" t="s">
        <v>6</v>
      </c>
      <c r="N564" s="9" t="s">
        <v>9</v>
      </c>
      <c r="O564" s="9" t="s">
        <v>10</v>
      </c>
      <c r="P564" s="9" t="s">
        <v>201</v>
      </c>
    </row>
    <row r="565" spans="1:16" x14ac:dyDescent="0.3">
      <c r="B565" s="116"/>
      <c r="C565" s="116"/>
      <c r="D565" s="116"/>
      <c r="E565" s="116"/>
      <c r="F565" s="17" t="s">
        <v>13</v>
      </c>
      <c r="G565" s="116"/>
      <c r="H565" s="17" t="s">
        <v>13</v>
      </c>
      <c r="I565" s="17" t="s">
        <v>13</v>
      </c>
      <c r="J565" s="17" t="s">
        <v>146</v>
      </c>
      <c r="K565" s="17" t="s">
        <v>14</v>
      </c>
      <c r="L565" s="17" t="s">
        <v>13</v>
      </c>
      <c r="M565" s="17" t="s">
        <v>13</v>
      </c>
      <c r="N565" s="17" t="s">
        <v>13</v>
      </c>
      <c r="O565" s="17" t="s">
        <v>14</v>
      </c>
      <c r="P565" s="17" t="s">
        <v>146</v>
      </c>
    </row>
    <row r="566" spans="1:16" x14ac:dyDescent="0.3">
      <c r="B566" s="149"/>
      <c r="C566" s="149"/>
      <c r="D566" s="149"/>
      <c r="E566" s="9"/>
      <c r="F566" s="72"/>
      <c r="G566" s="9"/>
      <c r="H566" s="17"/>
      <c r="I566" s="17"/>
      <c r="J566" s="72"/>
      <c r="K566" s="72"/>
      <c r="L566" s="17"/>
      <c r="M566" s="17"/>
      <c r="N566" s="17"/>
      <c r="O566" s="17"/>
      <c r="P566" s="17"/>
    </row>
    <row r="567" spans="1:16" x14ac:dyDescent="0.3">
      <c r="B567" s="149"/>
      <c r="C567" s="149"/>
      <c r="D567" s="149"/>
      <c r="E567" s="9"/>
      <c r="F567" s="72"/>
      <c r="G567" s="9"/>
      <c r="H567" s="17"/>
      <c r="I567" s="17"/>
      <c r="J567" s="72"/>
      <c r="K567" s="72"/>
      <c r="L567" s="17"/>
      <c r="M567" s="17"/>
      <c r="N567" s="17"/>
      <c r="O567" s="17"/>
      <c r="P567" s="17"/>
    </row>
    <row r="568" spans="1:16" x14ac:dyDescent="0.3">
      <c r="B568" s="149"/>
      <c r="C568" s="149"/>
      <c r="D568" s="149"/>
      <c r="E568" s="9"/>
      <c r="F568" s="72"/>
      <c r="G568" s="9"/>
      <c r="H568" s="17"/>
      <c r="I568" s="17"/>
      <c r="J568" s="72"/>
      <c r="K568" s="72"/>
      <c r="L568" s="17"/>
      <c r="M568" s="17"/>
      <c r="N568" s="17"/>
      <c r="O568" s="17"/>
      <c r="P568" s="17"/>
    </row>
    <row r="569" spans="1:16" x14ac:dyDescent="0.3">
      <c r="B569" s="149"/>
      <c r="C569" s="149"/>
      <c r="D569" s="149"/>
      <c r="E569" s="9"/>
      <c r="F569" s="72"/>
      <c r="G569" s="9"/>
      <c r="H569" s="17"/>
      <c r="I569" s="17"/>
      <c r="J569" s="72"/>
      <c r="K569" s="72"/>
      <c r="L569" s="17"/>
      <c r="M569" s="17"/>
      <c r="N569" s="17"/>
      <c r="O569" s="17"/>
      <c r="P569" s="17"/>
    </row>
    <row r="570" spans="1:16" x14ac:dyDescent="0.3">
      <c r="B570" s="149"/>
      <c r="C570" s="149"/>
      <c r="D570" s="149"/>
      <c r="E570" s="9"/>
      <c r="F570" s="72"/>
      <c r="G570" s="9"/>
      <c r="H570" s="17"/>
      <c r="I570" s="17"/>
      <c r="J570" s="72"/>
      <c r="K570" s="72"/>
      <c r="L570" s="17"/>
      <c r="M570" s="17"/>
      <c r="N570" s="17"/>
      <c r="O570" s="17"/>
      <c r="P570" s="17"/>
    </row>
    <row r="571" spans="1:16" x14ac:dyDescent="0.3">
      <c r="B571" s="149"/>
      <c r="C571" s="149"/>
      <c r="D571" s="149"/>
      <c r="E571" s="9"/>
      <c r="F571" s="72"/>
      <c r="G571" s="9"/>
      <c r="H571" s="17"/>
      <c r="I571" s="17"/>
      <c r="J571" s="72"/>
      <c r="K571" s="72"/>
      <c r="L571" s="17"/>
      <c r="M571" s="17"/>
      <c r="N571" s="17"/>
      <c r="O571" s="17"/>
      <c r="P571" s="17"/>
    </row>
    <row r="572" spans="1:16" x14ac:dyDescent="0.3">
      <c r="B572" s="149"/>
      <c r="C572" s="149"/>
      <c r="D572" s="149"/>
      <c r="E572" s="9"/>
      <c r="F572" s="72"/>
      <c r="G572" s="9"/>
      <c r="H572" s="17"/>
      <c r="I572" s="17"/>
      <c r="J572" s="72"/>
      <c r="K572" s="72"/>
      <c r="L572" s="17"/>
      <c r="M572" s="17"/>
      <c r="N572" s="17"/>
      <c r="O572" s="17"/>
      <c r="P572" s="17"/>
    </row>
    <row r="573" spans="1:16" x14ac:dyDescent="0.3">
      <c r="B573" s="149"/>
      <c r="C573" s="149"/>
      <c r="D573" s="149"/>
      <c r="E573" s="9"/>
      <c r="F573" s="72"/>
      <c r="G573" s="9"/>
      <c r="H573" s="17"/>
      <c r="I573" s="17"/>
      <c r="J573" s="72"/>
      <c r="K573" s="72"/>
      <c r="L573" s="17"/>
      <c r="M573" s="17"/>
      <c r="N573" s="17"/>
      <c r="O573" s="17"/>
      <c r="P573" s="17"/>
    </row>
    <row r="574" spans="1:16" x14ac:dyDescent="0.3">
      <c r="B574" s="149"/>
      <c r="C574" s="149"/>
      <c r="D574" s="149"/>
      <c r="E574" s="9"/>
      <c r="F574" s="72"/>
      <c r="G574" s="9"/>
      <c r="H574" s="17"/>
      <c r="I574" s="17"/>
      <c r="J574" s="72"/>
      <c r="K574" s="72"/>
      <c r="L574" s="17"/>
      <c r="M574" s="17"/>
      <c r="N574" s="17"/>
      <c r="O574" s="17"/>
      <c r="P574" s="17"/>
    </row>
    <row r="575" spans="1:16" x14ac:dyDescent="0.3">
      <c r="B575" s="149"/>
      <c r="C575" s="149"/>
      <c r="D575" s="149"/>
      <c r="E575" s="9"/>
      <c r="F575" s="72"/>
      <c r="G575" s="9"/>
      <c r="H575" s="17"/>
      <c r="I575" s="17"/>
      <c r="J575" s="72"/>
      <c r="K575" s="72"/>
      <c r="L575" s="17"/>
      <c r="M575" s="17"/>
      <c r="N575" s="17"/>
      <c r="O575" s="17"/>
      <c r="P575" s="17"/>
    </row>
    <row r="576" spans="1:16" x14ac:dyDescent="0.3">
      <c r="B576" s="149"/>
      <c r="C576" s="149"/>
      <c r="D576" s="149"/>
      <c r="E576" s="68"/>
      <c r="F576" s="79"/>
      <c r="G576" s="39"/>
      <c r="H576" s="79"/>
      <c r="I576" s="79"/>
      <c r="J576" s="39"/>
      <c r="K576" s="79"/>
      <c r="L576" s="79"/>
      <c r="M576" s="79"/>
      <c r="N576" s="79"/>
      <c r="O576" s="79"/>
      <c r="P576" s="79"/>
    </row>
    <row r="577" spans="1:16" x14ac:dyDescent="0.3">
      <c r="B577" s="149"/>
      <c r="C577" s="149"/>
      <c r="D577" s="149"/>
      <c r="E577" s="68"/>
      <c r="F577" s="79"/>
      <c r="G577" s="39"/>
      <c r="H577" s="79"/>
      <c r="I577" s="79"/>
      <c r="J577" s="39"/>
      <c r="K577" s="79"/>
      <c r="L577" s="79"/>
      <c r="M577" s="79"/>
      <c r="N577" s="79"/>
      <c r="O577" s="79"/>
      <c r="P577" s="79"/>
    </row>
    <row r="578" spans="1:16" x14ac:dyDescent="0.3">
      <c r="B578" s="149"/>
      <c r="C578" s="149"/>
      <c r="D578" s="149"/>
      <c r="E578" s="68"/>
      <c r="F578" s="79"/>
      <c r="G578" s="39"/>
      <c r="H578" s="79"/>
      <c r="I578" s="79"/>
      <c r="J578" s="39"/>
      <c r="K578" s="79"/>
      <c r="L578" s="79"/>
      <c r="M578" s="79"/>
      <c r="N578" s="79"/>
      <c r="O578" s="79"/>
      <c r="P578" s="79"/>
    </row>
    <row r="579" spans="1:16" x14ac:dyDescent="0.3">
      <c r="B579" s="149"/>
      <c r="C579" s="149"/>
      <c r="D579" s="149"/>
      <c r="E579" s="68"/>
      <c r="F579" s="79"/>
      <c r="G579" s="39"/>
      <c r="H579" s="79"/>
      <c r="I579" s="79"/>
      <c r="J579" s="39"/>
      <c r="K579" s="79"/>
      <c r="L579" s="79"/>
      <c r="M579" s="79"/>
      <c r="N579" s="79"/>
      <c r="O579" s="79"/>
      <c r="P579" s="79"/>
    </row>
    <row r="580" spans="1:16" x14ac:dyDescent="0.3">
      <c r="B580" s="149"/>
      <c r="C580" s="149"/>
      <c r="D580" s="149"/>
      <c r="E580" s="68"/>
      <c r="F580" s="79"/>
      <c r="G580" s="39"/>
      <c r="H580" s="79"/>
      <c r="I580" s="79"/>
      <c r="J580" s="39"/>
      <c r="K580" s="79"/>
      <c r="L580" s="79"/>
      <c r="M580" s="79"/>
      <c r="N580" s="79"/>
      <c r="O580" s="79"/>
      <c r="P580" s="79"/>
    </row>
    <row r="581" spans="1:16" x14ac:dyDescent="0.3">
      <c r="B581" s="149"/>
      <c r="C581" s="149"/>
      <c r="D581" s="149"/>
      <c r="E581" s="72"/>
      <c r="F581" s="72"/>
      <c r="G581" s="72"/>
      <c r="H581" s="72"/>
      <c r="I581" s="72"/>
      <c r="J581" s="39"/>
      <c r="K581" s="79"/>
      <c r="L581" s="79"/>
      <c r="M581" s="79"/>
      <c r="N581" s="79"/>
      <c r="O581" s="79"/>
      <c r="P581" s="79"/>
    </row>
    <row r="582" spans="1:16" x14ac:dyDescent="0.3">
      <c r="B582" s="149"/>
      <c r="C582" s="149"/>
      <c r="D582" s="149"/>
      <c r="E582" s="9"/>
      <c r="F582" s="72"/>
      <c r="G582" s="72"/>
      <c r="H582" s="72"/>
      <c r="I582" s="72"/>
      <c r="J582" s="72"/>
      <c r="K582" s="72"/>
      <c r="L582" s="17"/>
      <c r="M582" s="17"/>
      <c r="N582" s="17"/>
      <c r="O582" s="9"/>
      <c r="P582" s="63"/>
    </row>
    <row r="583" spans="1:16" x14ac:dyDescent="0.3">
      <c r="B583" s="149"/>
      <c r="C583" s="149"/>
      <c r="D583" s="149"/>
      <c r="E583" s="9"/>
      <c r="F583" s="72"/>
      <c r="G583" s="72"/>
      <c r="H583" s="72"/>
      <c r="I583" s="72"/>
      <c r="J583" s="72"/>
      <c r="K583" s="72"/>
      <c r="L583" s="17"/>
      <c r="M583" s="17"/>
      <c r="N583" s="17"/>
      <c r="O583" s="9"/>
      <c r="P583" s="63"/>
    </row>
    <row r="584" spans="1:16" x14ac:dyDescent="0.3">
      <c r="B584" s="149"/>
      <c r="C584" s="149"/>
      <c r="D584" s="149"/>
      <c r="E584" s="9"/>
      <c r="F584" s="72"/>
      <c r="G584" s="72"/>
      <c r="H584" s="72"/>
      <c r="I584" s="72"/>
      <c r="J584" s="72"/>
      <c r="K584" s="72"/>
      <c r="L584" s="17"/>
      <c r="M584" s="17"/>
      <c r="N584" s="17"/>
      <c r="O584" s="9"/>
      <c r="P584" s="63"/>
    </row>
    <row r="585" spans="1:16" x14ac:dyDescent="0.3">
      <c r="B585" s="149"/>
      <c r="C585" s="149"/>
      <c r="D585" s="149"/>
      <c r="E585" s="9"/>
      <c r="F585" s="72"/>
      <c r="G585" s="72"/>
      <c r="H585" s="72"/>
      <c r="I585" s="72"/>
      <c r="J585" s="72"/>
      <c r="K585" s="72"/>
      <c r="L585" s="17"/>
      <c r="M585" s="17"/>
      <c r="N585" s="17"/>
      <c r="O585" s="9"/>
      <c r="P585" s="63"/>
    </row>
    <row r="586" spans="1:16" x14ac:dyDescent="0.3">
      <c r="B586" s="150" t="s">
        <v>29</v>
      </c>
      <c r="C586" s="150"/>
      <c r="D586" s="150" t="s">
        <v>29</v>
      </c>
      <c r="E586" s="150"/>
      <c r="F586" s="150"/>
      <c r="G586" s="150"/>
      <c r="H586" s="150"/>
      <c r="I586" s="150"/>
      <c r="J586" s="54">
        <f t="shared" ref="J586:P586" si="30">SUM(J566:J585)</f>
        <v>0</v>
      </c>
      <c r="K586" s="54">
        <f t="shared" si="30"/>
        <v>0</v>
      </c>
      <c r="L586" s="54">
        <f t="shared" si="30"/>
        <v>0</v>
      </c>
      <c r="M586" s="54">
        <f t="shared" si="30"/>
        <v>0</v>
      </c>
      <c r="N586" s="54">
        <f t="shared" si="30"/>
        <v>0</v>
      </c>
      <c r="O586" s="54">
        <f t="shared" si="30"/>
        <v>0</v>
      </c>
      <c r="P586" s="54">
        <f t="shared" si="30"/>
        <v>0</v>
      </c>
    </row>
    <row r="588" spans="1:16" x14ac:dyDescent="0.3">
      <c r="A588" s="34" t="s">
        <v>208</v>
      </c>
      <c r="B588" s="151" t="s">
        <v>192</v>
      </c>
      <c r="C588" s="151"/>
      <c r="D588" s="151"/>
      <c r="E588" s="151"/>
    </row>
    <row r="590" spans="1:16" ht="14.1" customHeight="1" x14ac:dyDescent="0.3">
      <c r="B590" s="15"/>
      <c r="C590" s="15"/>
      <c r="D590" s="15"/>
      <c r="E590" s="116" t="s">
        <v>140</v>
      </c>
      <c r="F590" s="116" t="s">
        <v>8</v>
      </c>
      <c r="G590" s="116" t="s">
        <v>200</v>
      </c>
      <c r="H590" s="116" t="s">
        <v>141</v>
      </c>
      <c r="I590" s="116"/>
      <c r="J590" s="116" t="s">
        <v>201</v>
      </c>
      <c r="K590" s="124" t="s">
        <v>202</v>
      </c>
      <c r="L590" s="116" t="s">
        <v>203</v>
      </c>
      <c r="M590" s="116"/>
      <c r="N590" s="116"/>
      <c r="O590" s="116"/>
      <c r="P590" s="116"/>
    </row>
    <row r="591" spans="1:16" ht="14.1" customHeight="1" x14ac:dyDescent="0.3">
      <c r="B591" s="116" t="s">
        <v>5</v>
      </c>
      <c r="C591" s="116"/>
      <c r="D591" s="116"/>
      <c r="E591" s="116"/>
      <c r="F591" s="116"/>
      <c r="G591" s="116"/>
      <c r="H591" s="9" t="s">
        <v>7</v>
      </c>
      <c r="I591" s="9" t="s">
        <v>6</v>
      </c>
      <c r="J591" s="116"/>
      <c r="K591" s="116"/>
      <c r="L591" s="9" t="s">
        <v>8</v>
      </c>
      <c r="M591" s="9" t="s">
        <v>6</v>
      </c>
      <c r="N591" s="9" t="s">
        <v>9</v>
      </c>
      <c r="O591" s="9" t="s">
        <v>10</v>
      </c>
      <c r="P591" s="9" t="s">
        <v>201</v>
      </c>
    </row>
    <row r="592" spans="1:16" x14ac:dyDescent="0.3">
      <c r="B592" s="116"/>
      <c r="C592" s="116"/>
      <c r="D592" s="116"/>
      <c r="E592" s="116"/>
      <c r="F592" s="17" t="s">
        <v>13</v>
      </c>
      <c r="G592" s="116"/>
      <c r="H592" s="17" t="s">
        <v>13</v>
      </c>
      <c r="I592" s="17" t="s">
        <v>13</v>
      </c>
      <c r="J592" s="17" t="s">
        <v>146</v>
      </c>
      <c r="K592" s="17" t="s">
        <v>14</v>
      </c>
      <c r="L592" s="17" t="s">
        <v>13</v>
      </c>
      <c r="M592" s="17" t="s">
        <v>13</v>
      </c>
      <c r="N592" s="17" t="s">
        <v>13</v>
      </c>
      <c r="O592" s="17" t="s">
        <v>14</v>
      </c>
      <c r="P592" s="17" t="s">
        <v>146</v>
      </c>
    </row>
    <row r="593" spans="2:16" x14ac:dyDescent="0.3">
      <c r="B593" s="149"/>
      <c r="C593" s="149"/>
      <c r="D593" s="149"/>
      <c r="E593" s="9"/>
      <c r="F593" s="72"/>
      <c r="G593" s="9"/>
      <c r="H593" s="17"/>
      <c r="I593" s="17"/>
      <c r="J593" s="72"/>
      <c r="K593" s="72"/>
      <c r="L593" s="17"/>
      <c r="M593" s="17"/>
      <c r="N593" s="17"/>
      <c r="O593" s="17"/>
      <c r="P593" s="17"/>
    </row>
    <row r="594" spans="2:16" x14ac:dyDescent="0.3">
      <c r="B594" s="149"/>
      <c r="C594" s="149"/>
      <c r="D594" s="149"/>
      <c r="E594" s="9"/>
      <c r="F594" s="72"/>
      <c r="G594" s="9"/>
      <c r="H594" s="17"/>
      <c r="I594" s="17"/>
      <c r="J594" s="72"/>
      <c r="K594" s="72"/>
      <c r="L594" s="17"/>
      <c r="M594" s="17"/>
      <c r="N594" s="17"/>
      <c r="O594" s="17"/>
      <c r="P594" s="17"/>
    </row>
    <row r="595" spans="2:16" x14ac:dyDescent="0.3">
      <c r="B595" s="149"/>
      <c r="C595" s="149"/>
      <c r="D595" s="149"/>
      <c r="E595" s="9"/>
      <c r="F595" s="72"/>
      <c r="G595" s="9"/>
      <c r="H595" s="17"/>
      <c r="I595" s="17"/>
      <c r="J595" s="72"/>
      <c r="K595" s="72"/>
      <c r="L595" s="17"/>
      <c r="M595" s="17"/>
      <c r="N595" s="17"/>
      <c r="O595" s="17"/>
      <c r="P595" s="17"/>
    </row>
    <row r="596" spans="2:16" x14ac:dyDescent="0.3">
      <c r="B596" s="149"/>
      <c r="C596" s="149"/>
      <c r="D596" s="149"/>
      <c r="E596" s="9"/>
      <c r="F596" s="72"/>
      <c r="G596" s="9"/>
      <c r="H596" s="17"/>
      <c r="I596" s="17"/>
      <c r="J596" s="72"/>
      <c r="K596" s="72"/>
      <c r="L596" s="17"/>
      <c r="M596" s="17"/>
      <c r="N596" s="17"/>
      <c r="O596" s="17"/>
      <c r="P596" s="17"/>
    </row>
    <row r="597" spans="2:16" x14ac:dyDescent="0.3">
      <c r="B597" s="149"/>
      <c r="C597" s="149"/>
      <c r="D597" s="149"/>
      <c r="E597" s="9"/>
      <c r="F597" s="72"/>
      <c r="G597" s="9"/>
      <c r="H597" s="17"/>
      <c r="I597" s="17"/>
      <c r="J597" s="72"/>
      <c r="K597" s="72"/>
      <c r="L597" s="17"/>
      <c r="M597" s="17"/>
      <c r="N597" s="17"/>
      <c r="O597" s="17"/>
      <c r="P597" s="17"/>
    </row>
    <row r="598" spans="2:16" x14ac:dyDescent="0.3">
      <c r="B598" s="149"/>
      <c r="C598" s="149"/>
      <c r="D598" s="149"/>
      <c r="E598" s="9"/>
      <c r="F598" s="72"/>
      <c r="G598" s="9"/>
      <c r="H598" s="17"/>
      <c r="I598" s="17"/>
      <c r="J598" s="72"/>
      <c r="K598" s="72"/>
      <c r="L598" s="17"/>
      <c r="M598" s="17"/>
      <c r="N598" s="17"/>
      <c r="O598" s="17"/>
      <c r="P598" s="17"/>
    </row>
    <row r="599" spans="2:16" x14ac:dyDescent="0.3">
      <c r="B599" s="149"/>
      <c r="C599" s="149"/>
      <c r="D599" s="149"/>
      <c r="E599" s="9"/>
      <c r="F599" s="72"/>
      <c r="G599" s="9"/>
      <c r="H599" s="17"/>
      <c r="I599" s="17"/>
      <c r="J599" s="72"/>
      <c r="K599" s="72"/>
      <c r="L599" s="17"/>
      <c r="M599" s="17"/>
      <c r="N599" s="17"/>
      <c r="O599" s="17"/>
      <c r="P599" s="17"/>
    </row>
    <row r="600" spans="2:16" x14ac:dyDescent="0.3">
      <c r="B600" s="149"/>
      <c r="C600" s="149"/>
      <c r="D600" s="149"/>
      <c r="E600" s="9"/>
      <c r="F600" s="72"/>
      <c r="G600" s="9"/>
      <c r="H600" s="17"/>
      <c r="I600" s="17"/>
      <c r="J600" s="72"/>
      <c r="K600" s="72"/>
      <c r="L600" s="17"/>
      <c r="M600" s="17"/>
      <c r="N600" s="17"/>
      <c r="O600" s="17"/>
      <c r="P600" s="17"/>
    </row>
    <row r="601" spans="2:16" x14ac:dyDescent="0.3">
      <c r="B601" s="149"/>
      <c r="C601" s="149"/>
      <c r="D601" s="149"/>
      <c r="E601" s="9"/>
      <c r="F601" s="72"/>
      <c r="G601" s="9"/>
      <c r="H601" s="17"/>
      <c r="I601" s="17"/>
      <c r="J601" s="72"/>
      <c r="K601" s="72"/>
      <c r="L601" s="17"/>
      <c r="M601" s="17"/>
      <c r="N601" s="17"/>
      <c r="O601" s="17"/>
      <c r="P601" s="17"/>
    </row>
    <row r="602" spans="2:16" x14ac:dyDescent="0.3">
      <c r="B602" s="149"/>
      <c r="C602" s="149"/>
      <c r="D602" s="149"/>
      <c r="E602" s="9"/>
      <c r="F602" s="72"/>
      <c r="G602" s="9"/>
      <c r="H602" s="17"/>
      <c r="I602" s="17"/>
      <c r="J602" s="72"/>
      <c r="K602" s="72"/>
      <c r="L602" s="17"/>
      <c r="M602" s="17"/>
      <c r="N602" s="17"/>
      <c r="O602" s="17"/>
      <c r="P602" s="17"/>
    </row>
    <row r="603" spans="2:16" x14ac:dyDescent="0.3">
      <c r="B603" s="149"/>
      <c r="C603" s="149"/>
      <c r="D603" s="149"/>
      <c r="E603" s="68"/>
      <c r="F603" s="79"/>
      <c r="G603" s="39"/>
      <c r="H603" s="79"/>
      <c r="I603" s="79"/>
      <c r="J603" s="39"/>
      <c r="K603" s="79"/>
      <c r="L603" s="79"/>
      <c r="M603" s="79"/>
      <c r="N603" s="79"/>
      <c r="O603" s="79"/>
      <c r="P603" s="79"/>
    </row>
    <row r="604" spans="2:16" x14ac:dyDescent="0.3">
      <c r="B604" s="149"/>
      <c r="C604" s="149"/>
      <c r="D604" s="149"/>
      <c r="E604" s="68"/>
      <c r="F604" s="79"/>
      <c r="G604" s="39"/>
      <c r="H604" s="79"/>
      <c r="I604" s="79"/>
      <c r="J604" s="39"/>
      <c r="K604" s="79"/>
      <c r="L604" s="79"/>
      <c r="M604" s="79"/>
      <c r="N604" s="79"/>
      <c r="O604" s="79"/>
      <c r="P604" s="79"/>
    </row>
    <row r="605" spans="2:16" x14ac:dyDescent="0.3">
      <c r="B605" s="149"/>
      <c r="C605" s="149"/>
      <c r="D605" s="149"/>
      <c r="E605" s="68"/>
      <c r="F605" s="79"/>
      <c r="G605" s="39"/>
      <c r="H605" s="79"/>
      <c r="I605" s="79"/>
      <c r="J605" s="39"/>
      <c r="K605" s="79"/>
      <c r="L605" s="79"/>
      <c r="M605" s="79"/>
      <c r="N605" s="79"/>
      <c r="O605" s="79"/>
      <c r="P605" s="79"/>
    </row>
    <row r="606" spans="2:16" x14ac:dyDescent="0.3">
      <c r="B606" s="149"/>
      <c r="C606" s="149"/>
      <c r="D606" s="149"/>
      <c r="E606" s="68"/>
      <c r="F606" s="79"/>
      <c r="G606" s="39"/>
      <c r="H606" s="79"/>
      <c r="I606" s="79"/>
      <c r="J606" s="39"/>
      <c r="K606" s="79"/>
      <c r="L606" s="79"/>
      <c r="M606" s="79"/>
      <c r="N606" s="79"/>
      <c r="O606" s="79"/>
      <c r="P606" s="79"/>
    </row>
    <row r="607" spans="2:16" x14ac:dyDescent="0.3">
      <c r="B607" s="149"/>
      <c r="C607" s="149"/>
      <c r="D607" s="149"/>
      <c r="E607" s="68"/>
      <c r="F607" s="79"/>
      <c r="G607" s="39"/>
      <c r="H607" s="79"/>
      <c r="I607" s="79"/>
      <c r="J607" s="39"/>
      <c r="K607" s="79"/>
      <c r="L607" s="79"/>
      <c r="M607" s="79"/>
      <c r="N607" s="79"/>
      <c r="O607" s="79"/>
      <c r="P607" s="79"/>
    </row>
    <row r="608" spans="2:16" x14ac:dyDescent="0.3">
      <c r="B608" s="149"/>
      <c r="C608" s="149"/>
      <c r="D608" s="149"/>
      <c r="E608" s="72"/>
      <c r="F608" s="72"/>
      <c r="G608" s="72"/>
      <c r="H608" s="72"/>
      <c r="I608" s="72"/>
      <c r="J608" s="39"/>
      <c r="K608" s="79"/>
      <c r="L608" s="79"/>
      <c r="M608" s="79"/>
      <c r="N608" s="79"/>
      <c r="O608" s="79"/>
      <c r="P608" s="79"/>
    </row>
    <row r="609" spans="1:16" x14ac:dyDescent="0.3">
      <c r="B609" s="149"/>
      <c r="C609" s="149"/>
      <c r="D609" s="149"/>
      <c r="E609" s="9"/>
      <c r="F609" s="72"/>
      <c r="G609" s="72"/>
      <c r="H609" s="72"/>
      <c r="I609" s="72"/>
      <c r="J609" s="72"/>
      <c r="K609" s="72"/>
      <c r="L609" s="17"/>
      <c r="M609" s="17"/>
      <c r="N609" s="17"/>
      <c r="O609" s="9"/>
      <c r="P609" s="63"/>
    </row>
    <row r="610" spans="1:16" x14ac:dyDescent="0.3">
      <c r="B610" s="149"/>
      <c r="C610" s="149"/>
      <c r="D610" s="149"/>
      <c r="E610" s="9"/>
      <c r="F610" s="72"/>
      <c r="G610" s="72"/>
      <c r="H610" s="72"/>
      <c r="I610" s="72"/>
      <c r="J610" s="72"/>
      <c r="K610" s="72"/>
      <c r="L610" s="17"/>
      <c r="M610" s="17"/>
      <c r="N610" s="17"/>
      <c r="O610" s="9"/>
      <c r="P610" s="63"/>
    </row>
    <row r="611" spans="1:16" x14ac:dyDescent="0.3">
      <c r="B611" s="149"/>
      <c r="C611" s="149"/>
      <c r="D611" s="149"/>
      <c r="E611" s="9"/>
      <c r="F611" s="72"/>
      <c r="G611" s="72"/>
      <c r="H611" s="72"/>
      <c r="I611" s="72"/>
      <c r="J611" s="72"/>
      <c r="K611" s="72"/>
      <c r="L611" s="17"/>
      <c r="M611" s="17"/>
      <c r="N611" s="17"/>
      <c r="O611" s="9"/>
      <c r="P611" s="63"/>
    </row>
    <row r="612" spans="1:16" x14ac:dyDescent="0.3">
      <c r="B612" s="149"/>
      <c r="C612" s="149"/>
      <c r="D612" s="149"/>
      <c r="E612" s="9"/>
      <c r="F612" s="72"/>
      <c r="G612" s="72"/>
      <c r="H612" s="72"/>
      <c r="I612" s="72"/>
      <c r="J612" s="72"/>
      <c r="K612" s="72"/>
      <c r="L612" s="17"/>
      <c r="M612" s="17"/>
      <c r="N612" s="17"/>
      <c r="O612" s="9"/>
      <c r="P612" s="63"/>
    </row>
    <row r="613" spans="1:16" x14ac:dyDescent="0.3">
      <c r="B613" s="150" t="s">
        <v>29</v>
      </c>
      <c r="C613" s="150"/>
      <c r="D613" s="150" t="s">
        <v>29</v>
      </c>
      <c r="E613" s="150"/>
      <c r="F613" s="150"/>
      <c r="G613" s="150"/>
      <c r="H613" s="150"/>
      <c r="I613" s="150"/>
      <c r="J613" s="54">
        <f t="shared" ref="J613:P613" si="31">SUM(J593:J612)</f>
        <v>0</v>
      </c>
      <c r="K613" s="54">
        <f t="shared" si="31"/>
        <v>0</v>
      </c>
      <c r="L613" s="54">
        <f t="shared" si="31"/>
        <v>0</v>
      </c>
      <c r="M613" s="54">
        <f t="shared" si="31"/>
        <v>0</v>
      </c>
      <c r="N613" s="54">
        <f t="shared" si="31"/>
        <v>0</v>
      </c>
      <c r="O613" s="54">
        <f t="shared" si="31"/>
        <v>0</v>
      </c>
      <c r="P613" s="54">
        <f t="shared" si="31"/>
        <v>0</v>
      </c>
    </row>
    <row r="615" spans="1:16" x14ac:dyDescent="0.3">
      <c r="A615" s="34" t="s">
        <v>209</v>
      </c>
      <c r="B615" s="151" t="s">
        <v>210</v>
      </c>
      <c r="C615" s="151"/>
      <c r="D615" s="151"/>
      <c r="E615" s="151"/>
    </row>
    <row r="617" spans="1:16" ht="14.1" customHeight="1" x14ac:dyDescent="0.3">
      <c r="B617" s="15"/>
      <c r="C617" s="15"/>
      <c r="D617" s="15"/>
      <c r="E617" s="116" t="s">
        <v>140</v>
      </c>
      <c r="F617" s="116" t="s">
        <v>8</v>
      </c>
      <c r="G617" s="116" t="s">
        <v>200</v>
      </c>
      <c r="H617" s="116" t="s">
        <v>141</v>
      </c>
      <c r="I617" s="116"/>
      <c r="J617" s="116" t="s">
        <v>201</v>
      </c>
      <c r="K617" s="124" t="s">
        <v>202</v>
      </c>
      <c r="L617" s="116" t="s">
        <v>203</v>
      </c>
      <c r="M617" s="116"/>
      <c r="N617" s="116"/>
      <c r="O617" s="116"/>
      <c r="P617" s="116"/>
    </row>
    <row r="618" spans="1:16" ht="14.1" customHeight="1" x14ac:dyDescent="0.3">
      <c r="B618" s="116" t="s">
        <v>5</v>
      </c>
      <c r="C618" s="116"/>
      <c r="D618" s="116"/>
      <c r="E618" s="116"/>
      <c r="F618" s="116"/>
      <c r="G618" s="116"/>
      <c r="H618" s="9" t="s">
        <v>7</v>
      </c>
      <c r="I618" s="9" t="s">
        <v>6</v>
      </c>
      <c r="J618" s="116"/>
      <c r="K618" s="116"/>
      <c r="L618" s="9" t="s">
        <v>8</v>
      </c>
      <c r="M618" s="9" t="s">
        <v>6</v>
      </c>
      <c r="N618" s="9" t="s">
        <v>9</v>
      </c>
      <c r="O618" s="9" t="s">
        <v>10</v>
      </c>
      <c r="P618" s="9" t="s">
        <v>201</v>
      </c>
    </row>
    <row r="619" spans="1:16" x14ac:dyDescent="0.3">
      <c r="B619" s="116"/>
      <c r="C619" s="116"/>
      <c r="D619" s="116"/>
      <c r="E619" s="116"/>
      <c r="F619" s="17" t="s">
        <v>13</v>
      </c>
      <c r="G619" s="116"/>
      <c r="H619" s="17" t="s">
        <v>13</v>
      </c>
      <c r="I619" s="17" t="s">
        <v>13</v>
      </c>
      <c r="J619" s="17" t="s">
        <v>146</v>
      </c>
      <c r="K619" s="17" t="s">
        <v>14</v>
      </c>
      <c r="L619" s="17" t="s">
        <v>13</v>
      </c>
      <c r="M619" s="17" t="s">
        <v>13</v>
      </c>
      <c r="N619" s="17" t="s">
        <v>13</v>
      </c>
      <c r="O619" s="17" t="s">
        <v>14</v>
      </c>
      <c r="P619" s="17" t="s">
        <v>146</v>
      </c>
    </row>
    <row r="620" spans="1:16" x14ac:dyDescent="0.3">
      <c r="B620" s="149"/>
      <c r="C620" s="149"/>
      <c r="D620" s="149"/>
      <c r="E620" s="9"/>
      <c r="F620" s="72"/>
      <c r="G620" s="9"/>
      <c r="H620" s="17"/>
      <c r="I620" s="17"/>
      <c r="J620" s="72"/>
      <c r="K620" s="72"/>
      <c r="L620" s="17"/>
      <c r="M620" s="17"/>
      <c r="N620" s="17"/>
      <c r="O620" s="17"/>
      <c r="P620" s="17"/>
    </row>
    <row r="621" spans="1:16" x14ac:dyDescent="0.3">
      <c r="B621" s="149"/>
      <c r="C621" s="149"/>
      <c r="D621" s="149"/>
      <c r="E621" s="9"/>
      <c r="F621" s="72"/>
      <c r="G621" s="9"/>
      <c r="H621" s="17"/>
      <c r="I621" s="17"/>
      <c r="J621" s="72"/>
      <c r="K621" s="72"/>
      <c r="L621" s="17"/>
      <c r="M621" s="17"/>
      <c r="N621" s="17"/>
      <c r="O621" s="17"/>
      <c r="P621" s="17"/>
    </row>
    <row r="622" spans="1:16" x14ac:dyDescent="0.3">
      <c r="B622" s="149"/>
      <c r="C622" s="149"/>
      <c r="D622" s="149"/>
      <c r="E622" s="9"/>
      <c r="F622" s="72"/>
      <c r="G622" s="9"/>
      <c r="H622" s="17"/>
      <c r="I622" s="17"/>
      <c r="J622" s="72"/>
      <c r="K622" s="72"/>
      <c r="L622" s="17"/>
      <c r="M622" s="17"/>
      <c r="N622" s="17"/>
      <c r="O622" s="17"/>
      <c r="P622" s="17"/>
    </row>
    <row r="623" spans="1:16" x14ac:dyDescent="0.3">
      <c r="B623" s="149"/>
      <c r="C623" s="149"/>
      <c r="D623" s="149"/>
      <c r="E623" s="9"/>
      <c r="F623" s="72"/>
      <c r="G623" s="9"/>
      <c r="H623" s="17"/>
      <c r="I623" s="17"/>
      <c r="J623" s="72"/>
      <c r="K623" s="72"/>
      <c r="L623" s="17"/>
      <c r="M623" s="17"/>
      <c r="N623" s="17"/>
      <c r="O623" s="17"/>
      <c r="P623" s="17"/>
    </row>
    <row r="624" spans="1:16" x14ac:dyDescent="0.3">
      <c r="B624" s="149"/>
      <c r="C624" s="149"/>
      <c r="D624" s="149"/>
      <c r="E624" s="9"/>
      <c r="F624" s="72"/>
      <c r="G624" s="9"/>
      <c r="H624" s="17"/>
      <c r="I624" s="17"/>
      <c r="J624" s="72"/>
      <c r="K624" s="72"/>
      <c r="L624" s="17"/>
      <c r="M624" s="17"/>
      <c r="N624" s="17"/>
      <c r="O624" s="17"/>
      <c r="P624" s="17"/>
    </row>
    <row r="625" spans="2:16" x14ac:dyDescent="0.3">
      <c r="B625" s="149"/>
      <c r="C625" s="149"/>
      <c r="D625" s="149"/>
      <c r="E625" s="9"/>
      <c r="F625" s="72"/>
      <c r="G625" s="9"/>
      <c r="H625" s="17"/>
      <c r="I625" s="17"/>
      <c r="J625" s="72"/>
      <c r="K625" s="72"/>
      <c r="L625" s="17"/>
      <c r="M625" s="17"/>
      <c r="N625" s="17"/>
      <c r="O625" s="17"/>
      <c r="P625" s="17"/>
    </row>
    <row r="626" spans="2:16" x14ac:dyDescent="0.3">
      <c r="B626" s="149"/>
      <c r="C626" s="149"/>
      <c r="D626" s="149"/>
      <c r="E626" s="9"/>
      <c r="F626" s="72"/>
      <c r="G626" s="9"/>
      <c r="H626" s="17"/>
      <c r="I626" s="17"/>
      <c r="J626" s="72"/>
      <c r="K626" s="72"/>
      <c r="L626" s="17"/>
      <c r="M626" s="17"/>
      <c r="N626" s="17"/>
      <c r="O626" s="17"/>
      <c r="P626" s="17"/>
    </row>
    <row r="627" spans="2:16" x14ac:dyDescent="0.3">
      <c r="B627" s="149"/>
      <c r="C627" s="149"/>
      <c r="D627" s="149"/>
      <c r="E627" s="9"/>
      <c r="F627" s="72"/>
      <c r="G627" s="9"/>
      <c r="H627" s="17"/>
      <c r="I627" s="17"/>
      <c r="J627" s="72"/>
      <c r="K627" s="72"/>
      <c r="L627" s="17"/>
      <c r="M627" s="17"/>
      <c r="N627" s="17"/>
      <c r="O627" s="17"/>
      <c r="P627" s="17"/>
    </row>
    <row r="628" spans="2:16" x14ac:dyDescent="0.3">
      <c r="B628" s="149"/>
      <c r="C628" s="149"/>
      <c r="D628" s="149"/>
      <c r="E628" s="9"/>
      <c r="F628" s="72"/>
      <c r="G628" s="9"/>
      <c r="H628" s="17"/>
      <c r="I628" s="17"/>
      <c r="J628" s="72"/>
      <c r="K628" s="72"/>
      <c r="L628" s="17"/>
      <c r="M628" s="17"/>
      <c r="N628" s="17"/>
      <c r="O628" s="17"/>
      <c r="P628" s="17"/>
    </row>
    <row r="629" spans="2:16" x14ac:dyDescent="0.3">
      <c r="B629" s="149"/>
      <c r="C629" s="149"/>
      <c r="D629" s="149"/>
      <c r="E629" s="9"/>
      <c r="F629" s="72"/>
      <c r="G629" s="9"/>
      <c r="H629" s="17"/>
      <c r="I629" s="17"/>
      <c r="J629" s="72"/>
      <c r="K629" s="72"/>
      <c r="L629" s="17"/>
      <c r="M629" s="17"/>
      <c r="N629" s="17"/>
      <c r="O629" s="17"/>
      <c r="P629" s="17"/>
    </row>
    <row r="630" spans="2:16" x14ac:dyDescent="0.3">
      <c r="B630" s="149"/>
      <c r="C630" s="149"/>
      <c r="D630" s="149"/>
      <c r="E630" s="68"/>
      <c r="F630" s="79"/>
      <c r="G630" s="39"/>
      <c r="H630" s="79"/>
      <c r="I630" s="79"/>
      <c r="J630" s="39"/>
      <c r="K630" s="79"/>
      <c r="L630" s="79"/>
      <c r="M630" s="79"/>
      <c r="N630" s="79"/>
      <c r="O630" s="79"/>
      <c r="P630" s="79"/>
    </row>
    <row r="631" spans="2:16" x14ac:dyDescent="0.3">
      <c r="B631" s="149"/>
      <c r="C631" s="149"/>
      <c r="D631" s="149"/>
      <c r="E631" s="68"/>
      <c r="F631" s="79"/>
      <c r="G631" s="39"/>
      <c r="H631" s="79"/>
      <c r="I631" s="79"/>
      <c r="J631" s="39"/>
      <c r="K631" s="79"/>
      <c r="L631" s="79"/>
      <c r="M631" s="79"/>
      <c r="N631" s="79"/>
      <c r="O631" s="79"/>
      <c r="P631" s="79"/>
    </row>
    <row r="632" spans="2:16" x14ac:dyDescent="0.3">
      <c r="B632" s="149"/>
      <c r="C632" s="149"/>
      <c r="D632" s="149"/>
      <c r="E632" s="68"/>
      <c r="F632" s="79"/>
      <c r="G632" s="39"/>
      <c r="H632" s="79"/>
      <c r="I632" s="79"/>
      <c r="J632" s="39"/>
      <c r="K632" s="79"/>
      <c r="L632" s="79"/>
      <c r="M632" s="79"/>
      <c r="N632" s="79"/>
      <c r="O632" s="79"/>
      <c r="P632" s="79"/>
    </row>
    <row r="633" spans="2:16" x14ac:dyDescent="0.3">
      <c r="B633" s="149"/>
      <c r="C633" s="149"/>
      <c r="D633" s="149"/>
      <c r="E633" s="68"/>
      <c r="F633" s="79"/>
      <c r="G633" s="39"/>
      <c r="H633" s="79"/>
      <c r="I633" s="79"/>
      <c r="J633" s="39"/>
      <c r="K633" s="79"/>
      <c r="L633" s="79"/>
      <c r="M633" s="79"/>
      <c r="N633" s="79"/>
      <c r="O633" s="79"/>
      <c r="P633" s="79"/>
    </row>
    <row r="634" spans="2:16" x14ac:dyDescent="0.3">
      <c r="B634" s="149"/>
      <c r="C634" s="149"/>
      <c r="D634" s="149"/>
      <c r="E634" s="68"/>
      <c r="F634" s="79"/>
      <c r="G634" s="39"/>
      <c r="H634" s="79"/>
      <c r="I634" s="79"/>
      <c r="J634" s="39"/>
      <c r="K634" s="79"/>
      <c r="L634" s="79"/>
      <c r="M634" s="79"/>
      <c r="N634" s="79"/>
      <c r="O634" s="79"/>
      <c r="P634" s="79"/>
    </row>
    <row r="635" spans="2:16" x14ac:dyDescent="0.3">
      <c r="B635" s="149"/>
      <c r="C635" s="149"/>
      <c r="D635" s="149"/>
      <c r="E635" s="72"/>
      <c r="F635" s="72"/>
      <c r="G635" s="72"/>
      <c r="H635" s="72"/>
      <c r="I635" s="72"/>
      <c r="J635" s="39"/>
      <c r="K635" s="79"/>
      <c r="L635" s="79"/>
      <c r="M635" s="79"/>
      <c r="N635" s="79"/>
      <c r="O635" s="79"/>
      <c r="P635" s="79"/>
    </row>
    <row r="636" spans="2:16" x14ac:dyDescent="0.3">
      <c r="B636" s="149"/>
      <c r="C636" s="149"/>
      <c r="D636" s="149"/>
      <c r="E636" s="9"/>
      <c r="F636" s="72"/>
      <c r="G636" s="72"/>
      <c r="H636" s="72"/>
      <c r="I636" s="72"/>
      <c r="J636" s="72"/>
      <c r="K636" s="72"/>
      <c r="L636" s="17"/>
      <c r="M636" s="17"/>
      <c r="N636" s="17"/>
      <c r="O636" s="9"/>
      <c r="P636" s="63"/>
    </row>
    <row r="637" spans="2:16" x14ac:dyDescent="0.3">
      <c r="B637" s="149"/>
      <c r="C637" s="149"/>
      <c r="D637" s="149"/>
      <c r="E637" s="9"/>
      <c r="F637" s="72"/>
      <c r="G637" s="72"/>
      <c r="H637" s="72"/>
      <c r="I637" s="72"/>
      <c r="J637" s="72"/>
      <c r="K637" s="72"/>
      <c r="L637" s="17"/>
      <c r="M637" s="17"/>
      <c r="N637" s="17"/>
      <c r="O637" s="9"/>
      <c r="P637" s="63"/>
    </row>
    <row r="638" spans="2:16" x14ac:dyDescent="0.3">
      <c r="B638" s="149"/>
      <c r="C638" s="149"/>
      <c r="D638" s="149"/>
      <c r="E638" s="9"/>
      <c r="F638" s="72"/>
      <c r="G638" s="72"/>
      <c r="H638" s="72"/>
      <c r="I638" s="72"/>
      <c r="J638" s="72"/>
      <c r="K638" s="72"/>
      <c r="L638" s="17"/>
      <c r="M638" s="17"/>
      <c r="N638" s="17"/>
      <c r="O638" s="9"/>
      <c r="P638" s="63"/>
    </row>
    <row r="639" spans="2:16" x14ac:dyDescent="0.3">
      <c r="B639" s="149"/>
      <c r="C639" s="149"/>
      <c r="D639" s="149"/>
      <c r="E639" s="9"/>
      <c r="F639" s="72"/>
      <c r="G639" s="72"/>
      <c r="H639" s="72"/>
      <c r="I639" s="72"/>
      <c r="J639" s="72"/>
      <c r="K639" s="72"/>
      <c r="L639" s="17"/>
      <c r="M639" s="17"/>
      <c r="N639" s="17"/>
      <c r="O639" s="9"/>
      <c r="P639" s="63"/>
    </row>
    <row r="640" spans="2:16" x14ac:dyDescent="0.3">
      <c r="B640" s="150" t="s">
        <v>29</v>
      </c>
      <c r="C640" s="150"/>
      <c r="D640" s="150" t="s">
        <v>29</v>
      </c>
      <c r="E640" s="150"/>
      <c r="F640" s="150"/>
      <c r="G640" s="150"/>
      <c r="H640" s="150"/>
      <c r="I640" s="150"/>
      <c r="J640" s="54">
        <f t="shared" ref="J640:P640" si="32">SUM(J620:J639)</f>
        <v>0</v>
      </c>
      <c r="K640" s="54">
        <f t="shared" si="32"/>
        <v>0</v>
      </c>
      <c r="L640" s="54">
        <f t="shared" si="32"/>
        <v>0</v>
      </c>
      <c r="M640" s="54">
        <f t="shared" si="32"/>
        <v>0</v>
      </c>
      <c r="N640" s="54">
        <f t="shared" si="32"/>
        <v>0</v>
      </c>
      <c r="O640" s="54">
        <f t="shared" si="32"/>
        <v>0</v>
      </c>
      <c r="P640" s="54">
        <f t="shared" si="32"/>
        <v>0</v>
      </c>
    </row>
    <row r="642" spans="1:16" x14ac:dyDescent="0.3">
      <c r="A642" s="34" t="s">
        <v>211</v>
      </c>
      <c r="B642" s="151" t="s">
        <v>212</v>
      </c>
      <c r="C642" s="151"/>
      <c r="D642" s="151"/>
      <c r="E642" s="151"/>
    </row>
    <row r="644" spans="1:16" ht="14.1" customHeight="1" x14ac:dyDescent="0.3">
      <c r="B644" s="15"/>
      <c r="C644" s="15"/>
      <c r="D644" s="15"/>
      <c r="E644" s="116" t="s">
        <v>140</v>
      </c>
      <c r="F644" s="116" t="s">
        <v>8</v>
      </c>
      <c r="G644" s="116" t="s">
        <v>200</v>
      </c>
      <c r="H644" s="116" t="s">
        <v>141</v>
      </c>
      <c r="I644" s="116"/>
      <c r="J644" s="116" t="s">
        <v>201</v>
      </c>
      <c r="K644" s="124" t="s">
        <v>202</v>
      </c>
      <c r="L644" s="116" t="s">
        <v>203</v>
      </c>
      <c r="M644" s="116"/>
      <c r="N644" s="116"/>
      <c r="O644" s="116"/>
      <c r="P644" s="116"/>
    </row>
    <row r="645" spans="1:16" ht="14.1" customHeight="1" x14ac:dyDescent="0.3">
      <c r="B645" s="116" t="s">
        <v>5</v>
      </c>
      <c r="C645" s="116"/>
      <c r="D645" s="116"/>
      <c r="E645" s="116"/>
      <c r="F645" s="116"/>
      <c r="G645" s="116"/>
      <c r="H645" s="9" t="s">
        <v>7</v>
      </c>
      <c r="I645" s="9" t="s">
        <v>6</v>
      </c>
      <c r="J645" s="116"/>
      <c r="K645" s="116"/>
      <c r="L645" s="9" t="s">
        <v>8</v>
      </c>
      <c r="M645" s="9" t="s">
        <v>6</v>
      </c>
      <c r="N645" s="9" t="s">
        <v>9</v>
      </c>
      <c r="O645" s="9" t="s">
        <v>10</v>
      </c>
      <c r="P645" s="9" t="s">
        <v>201</v>
      </c>
    </row>
    <row r="646" spans="1:16" x14ac:dyDescent="0.3">
      <c r="B646" s="116"/>
      <c r="C646" s="116"/>
      <c r="D646" s="116"/>
      <c r="E646" s="116"/>
      <c r="F646" s="17" t="s">
        <v>13</v>
      </c>
      <c r="G646" s="116"/>
      <c r="H646" s="17" t="s">
        <v>13</v>
      </c>
      <c r="I646" s="17" t="s">
        <v>13</v>
      </c>
      <c r="J646" s="17" t="s">
        <v>146</v>
      </c>
      <c r="K646" s="17" t="s">
        <v>14</v>
      </c>
      <c r="L646" s="17" t="s">
        <v>13</v>
      </c>
      <c r="M646" s="17" t="s">
        <v>13</v>
      </c>
      <c r="N646" s="17" t="s">
        <v>13</v>
      </c>
      <c r="O646" s="17" t="s">
        <v>14</v>
      </c>
      <c r="P646" s="17" t="s">
        <v>146</v>
      </c>
    </row>
    <row r="647" spans="1:16" x14ac:dyDescent="0.3">
      <c r="B647" s="149"/>
      <c r="C647" s="149"/>
      <c r="D647" s="149"/>
      <c r="E647" s="9"/>
      <c r="F647" s="72"/>
      <c r="G647" s="9"/>
      <c r="H647" s="17"/>
      <c r="I647" s="17"/>
      <c r="J647" s="72"/>
      <c r="K647" s="72"/>
      <c r="L647" s="17"/>
      <c r="M647" s="17"/>
      <c r="N647" s="17"/>
      <c r="O647" s="17"/>
      <c r="P647" s="17"/>
    </row>
    <row r="648" spans="1:16" x14ac:dyDescent="0.3">
      <c r="B648" s="149"/>
      <c r="C648" s="149"/>
      <c r="D648" s="149"/>
      <c r="E648" s="9"/>
      <c r="F648" s="72"/>
      <c r="G648" s="9"/>
      <c r="H648" s="17"/>
      <c r="I648" s="17"/>
      <c r="J648" s="72"/>
      <c r="K648" s="72"/>
      <c r="L648" s="17"/>
      <c r="M648" s="17"/>
      <c r="N648" s="17"/>
      <c r="O648" s="17"/>
      <c r="P648" s="17"/>
    </row>
    <row r="649" spans="1:16" x14ac:dyDescent="0.3">
      <c r="B649" s="149"/>
      <c r="C649" s="149"/>
      <c r="D649" s="149"/>
      <c r="E649" s="9"/>
      <c r="F649" s="72"/>
      <c r="G649" s="9"/>
      <c r="H649" s="17"/>
      <c r="I649" s="17"/>
      <c r="J649" s="72"/>
      <c r="K649" s="72"/>
      <c r="L649" s="17"/>
      <c r="M649" s="17"/>
      <c r="N649" s="17"/>
      <c r="O649" s="17"/>
      <c r="P649" s="17"/>
    </row>
    <row r="650" spans="1:16" x14ac:dyDescent="0.3">
      <c r="B650" s="149"/>
      <c r="C650" s="149"/>
      <c r="D650" s="149"/>
      <c r="E650" s="9"/>
      <c r="F650" s="72"/>
      <c r="G650" s="9"/>
      <c r="H650" s="17"/>
      <c r="I650" s="17"/>
      <c r="J650" s="72"/>
      <c r="K650" s="72"/>
      <c r="L650" s="17"/>
      <c r="M650" s="17"/>
      <c r="N650" s="17"/>
      <c r="O650" s="17"/>
      <c r="P650" s="17"/>
    </row>
    <row r="651" spans="1:16" x14ac:dyDescent="0.3">
      <c r="B651" s="149"/>
      <c r="C651" s="149"/>
      <c r="D651" s="149"/>
      <c r="E651" s="9"/>
      <c r="F651" s="72"/>
      <c r="G651" s="9"/>
      <c r="H651" s="17"/>
      <c r="I651" s="17"/>
      <c r="J651" s="72"/>
      <c r="K651" s="72"/>
      <c r="L651" s="17"/>
      <c r="M651" s="17"/>
      <c r="N651" s="17"/>
      <c r="O651" s="17"/>
      <c r="P651" s="17"/>
    </row>
    <row r="652" spans="1:16" x14ac:dyDescent="0.3">
      <c r="B652" s="149"/>
      <c r="C652" s="149"/>
      <c r="D652" s="149"/>
      <c r="E652" s="9"/>
      <c r="F652" s="72"/>
      <c r="G652" s="9"/>
      <c r="H652" s="17"/>
      <c r="I652" s="17"/>
      <c r="J652" s="72"/>
      <c r="K652" s="72"/>
      <c r="L652" s="17"/>
      <c r="M652" s="17"/>
      <c r="N652" s="17"/>
      <c r="O652" s="17"/>
      <c r="P652" s="17"/>
    </row>
    <row r="653" spans="1:16" x14ac:dyDescent="0.3">
      <c r="B653" s="149"/>
      <c r="C653" s="149"/>
      <c r="D653" s="149"/>
      <c r="E653" s="9"/>
      <c r="F653" s="72"/>
      <c r="G653" s="9"/>
      <c r="H653" s="17"/>
      <c r="I653" s="17"/>
      <c r="J653" s="72"/>
      <c r="K653" s="72"/>
      <c r="L653" s="17"/>
      <c r="M653" s="17"/>
      <c r="N653" s="17"/>
      <c r="O653" s="17"/>
      <c r="P653" s="17"/>
    </row>
    <row r="654" spans="1:16" x14ac:dyDescent="0.3">
      <c r="B654" s="149"/>
      <c r="C654" s="149"/>
      <c r="D654" s="149"/>
      <c r="E654" s="9"/>
      <c r="F654" s="72"/>
      <c r="G654" s="9"/>
      <c r="H654" s="17"/>
      <c r="I654" s="17"/>
      <c r="J654" s="72"/>
      <c r="K654" s="72"/>
      <c r="L654" s="17"/>
      <c r="M654" s="17"/>
      <c r="N654" s="17"/>
      <c r="O654" s="17"/>
      <c r="P654" s="17"/>
    </row>
    <row r="655" spans="1:16" x14ac:dyDescent="0.3">
      <c r="B655" s="149"/>
      <c r="C655" s="149"/>
      <c r="D655" s="149"/>
      <c r="E655" s="9"/>
      <c r="F655" s="72"/>
      <c r="G655" s="9"/>
      <c r="H655" s="17"/>
      <c r="I655" s="17"/>
      <c r="J655" s="72"/>
      <c r="K655" s="72"/>
      <c r="L655" s="17"/>
      <c r="M655" s="17"/>
      <c r="N655" s="17"/>
      <c r="O655" s="17"/>
      <c r="P655" s="17"/>
    </row>
    <row r="656" spans="1:16" x14ac:dyDescent="0.3">
      <c r="B656" s="149"/>
      <c r="C656" s="149"/>
      <c r="D656" s="149"/>
      <c r="E656" s="9"/>
      <c r="F656" s="72"/>
      <c r="G656" s="9"/>
      <c r="H656" s="17"/>
      <c r="I656" s="17"/>
      <c r="J656" s="72"/>
      <c r="K656" s="72"/>
      <c r="L656" s="17"/>
      <c r="M656" s="17"/>
      <c r="N656" s="17"/>
      <c r="O656" s="17"/>
      <c r="P656" s="17"/>
    </row>
    <row r="657" spans="1:20" x14ac:dyDescent="0.3">
      <c r="B657" s="149"/>
      <c r="C657" s="149"/>
      <c r="D657" s="149"/>
      <c r="E657" s="68"/>
      <c r="F657" s="79"/>
      <c r="G657" s="39"/>
      <c r="H657" s="79"/>
      <c r="I657" s="79"/>
      <c r="J657" s="39"/>
      <c r="K657" s="79"/>
      <c r="L657" s="79"/>
      <c r="M657" s="79"/>
      <c r="N657" s="79"/>
      <c r="O657" s="79"/>
      <c r="P657" s="79"/>
    </row>
    <row r="658" spans="1:20" x14ac:dyDescent="0.3">
      <c r="B658" s="149"/>
      <c r="C658" s="149"/>
      <c r="D658" s="149"/>
      <c r="E658" s="68"/>
      <c r="F658" s="79"/>
      <c r="G658" s="39"/>
      <c r="H658" s="79"/>
      <c r="I658" s="79"/>
      <c r="J658" s="39"/>
      <c r="K658" s="79"/>
      <c r="L658" s="79"/>
      <c r="M658" s="79"/>
      <c r="N658" s="79"/>
      <c r="O658" s="79"/>
      <c r="P658" s="79"/>
    </row>
    <row r="659" spans="1:20" x14ac:dyDescent="0.3">
      <c r="B659" s="149"/>
      <c r="C659" s="149"/>
      <c r="D659" s="149"/>
      <c r="E659" s="68"/>
      <c r="F659" s="79"/>
      <c r="G659" s="39"/>
      <c r="H659" s="79"/>
      <c r="I659" s="79"/>
      <c r="J659" s="39"/>
      <c r="K659" s="79"/>
      <c r="L659" s="79"/>
      <c r="M659" s="79"/>
      <c r="N659" s="79"/>
      <c r="O659" s="79"/>
      <c r="P659" s="79"/>
    </row>
    <row r="660" spans="1:20" x14ac:dyDescent="0.3">
      <c r="B660" s="149"/>
      <c r="C660" s="149"/>
      <c r="D660" s="149"/>
      <c r="E660" s="68"/>
      <c r="F660" s="79"/>
      <c r="G660" s="39"/>
      <c r="H660" s="79"/>
      <c r="I660" s="79"/>
      <c r="J660" s="39"/>
      <c r="K660" s="79"/>
      <c r="L660" s="79"/>
      <c r="M660" s="79"/>
      <c r="N660" s="79"/>
      <c r="O660" s="79"/>
      <c r="P660" s="79"/>
    </row>
    <row r="661" spans="1:20" x14ac:dyDescent="0.3">
      <c r="B661" s="149"/>
      <c r="C661" s="149"/>
      <c r="D661" s="149"/>
      <c r="E661" s="68"/>
      <c r="F661" s="79"/>
      <c r="G661" s="39"/>
      <c r="H661" s="79"/>
      <c r="I661" s="79"/>
      <c r="J661" s="39"/>
      <c r="K661" s="79"/>
      <c r="L661" s="79"/>
      <c r="M661" s="79"/>
      <c r="N661" s="79"/>
      <c r="O661" s="79"/>
      <c r="P661" s="79"/>
    </row>
    <row r="662" spans="1:20" x14ac:dyDescent="0.3">
      <c r="B662" s="149"/>
      <c r="C662" s="149"/>
      <c r="D662" s="149"/>
      <c r="E662" s="72"/>
      <c r="F662" s="72"/>
      <c r="G662" s="72"/>
      <c r="H662" s="72"/>
      <c r="I662" s="72"/>
      <c r="J662" s="39"/>
      <c r="K662" s="79"/>
      <c r="L662" s="79"/>
      <c r="M662" s="79"/>
      <c r="N662" s="79"/>
      <c r="O662" s="79"/>
      <c r="P662" s="79"/>
    </row>
    <row r="663" spans="1:20" x14ac:dyDescent="0.3">
      <c r="B663" s="149"/>
      <c r="C663" s="149"/>
      <c r="D663" s="149"/>
      <c r="E663" s="9"/>
      <c r="F663" s="72"/>
      <c r="G663" s="72"/>
      <c r="H663" s="72"/>
      <c r="I663" s="72"/>
      <c r="J663" s="72"/>
      <c r="K663" s="72"/>
      <c r="L663" s="17"/>
      <c r="M663" s="17"/>
      <c r="N663" s="17"/>
      <c r="O663" s="9"/>
      <c r="P663" s="63"/>
    </row>
    <row r="664" spans="1:20" x14ac:dyDescent="0.3">
      <c r="B664" s="149"/>
      <c r="C664" s="149"/>
      <c r="D664" s="149"/>
      <c r="E664" s="9"/>
      <c r="F664" s="72"/>
      <c r="G664" s="72"/>
      <c r="H664" s="72"/>
      <c r="I664" s="72"/>
      <c r="J664" s="72"/>
      <c r="K664" s="72"/>
      <c r="L664" s="17"/>
      <c r="M664" s="17"/>
      <c r="N664" s="17"/>
      <c r="O664" s="9"/>
      <c r="P664" s="63"/>
    </row>
    <row r="665" spans="1:20" x14ac:dyDescent="0.3">
      <c r="B665" s="149"/>
      <c r="C665" s="149"/>
      <c r="D665" s="149"/>
      <c r="E665" s="9"/>
      <c r="F665" s="72"/>
      <c r="G665" s="72"/>
      <c r="H665" s="72"/>
      <c r="I665" s="72"/>
      <c r="J665" s="72"/>
      <c r="K665" s="72"/>
      <c r="L665" s="17"/>
      <c r="M665" s="17"/>
      <c r="N665" s="17"/>
      <c r="O665" s="9"/>
      <c r="P665" s="63"/>
    </row>
    <row r="666" spans="1:20" x14ac:dyDescent="0.3">
      <c r="B666" s="149"/>
      <c r="C666" s="149"/>
      <c r="D666" s="149"/>
      <c r="E666" s="9"/>
      <c r="F666" s="72"/>
      <c r="G666" s="72"/>
      <c r="H666" s="72"/>
      <c r="I666" s="72"/>
      <c r="J666" s="72"/>
      <c r="K666" s="72"/>
      <c r="L666" s="17"/>
      <c r="M666" s="17"/>
      <c r="N666" s="17"/>
      <c r="O666" s="9"/>
      <c r="P666" s="63"/>
    </row>
    <row r="667" spans="1:20" x14ac:dyDescent="0.3">
      <c r="B667" s="150" t="s">
        <v>29</v>
      </c>
      <c r="C667" s="150"/>
      <c r="D667" s="150" t="s">
        <v>29</v>
      </c>
      <c r="E667" s="150"/>
      <c r="F667" s="150"/>
      <c r="G667" s="150"/>
      <c r="H667" s="150"/>
      <c r="I667" s="150"/>
      <c r="J667" s="54">
        <f t="shared" ref="J667:P667" si="33">SUM(J647:J666)</f>
        <v>0</v>
      </c>
      <c r="K667" s="54">
        <f t="shared" si="33"/>
        <v>0</v>
      </c>
      <c r="L667" s="54">
        <f t="shared" si="33"/>
        <v>0</v>
      </c>
      <c r="M667" s="54">
        <f t="shared" si="33"/>
        <v>0</v>
      </c>
      <c r="N667" s="54">
        <f t="shared" si="33"/>
        <v>0</v>
      </c>
      <c r="O667" s="54">
        <f t="shared" si="33"/>
        <v>0</v>
      </c>
      <c r="P667" s="54">
        <f t="shared" si="33"/>
        <v>0</v>
      </c>
    </row>
    <row r="669" spans="1:20" x14ac:dyDescent="0.3">
      <c r="A669" s="34" t="s">
        <v>213</v>
      </c>
      <c r="B669" s="130" t="s">
        <v>214</v>
      </c>
      <c r="C669" s="130"/>
      <c r="D669" s="130"/>
      <c r="E669" s="130"/>
    </row>
    <row r="671" spans="1:20" x14ac:dyDescent="0.3">
      <c r="C671" s="3"/>
      <c r="E671" s="117" t="s">
        <v>52</v>
      </c>
      <c r="F671" s="117"/>
      <c r="G671" s="117"/>
      <c r="H671" s="117"/>
      <c r="I671" s="117"/>
      <c r="J671" s="117"/>
      <c r="K671" s="117"/>
      <c r="L671" s="117"/>
      <c r="M671" s="117" t="s">
        <v>53</v>
      </c>
      <c r="N671" s="117"/>
      <c r="O671" s="117"/>
      <c r="P671" s="117"/>
      <c r="Q671" s="117"/>
      <c r="R671" s="117"/>
      <c r="S671" s="117"/>
      <c r="T671" s="117"/>
    </row>
    <row r="672" spans="1:20" ht="14.1" customHeight="1" x14ac:dyDescent="0.3">
      <c r="B672" s="15"/>
      <c r="C672" s="15"/>
      <c r="D672" s="15"/>
      <c r="E672" s="116" t="s">
        <v>140</v>
      </c>
      <c r="F672" s="116" t="s">
        <v>11</v>
      </c>
      <c r="G672" s="116" t="s">
        <v>89</v>
      </c>
      <c r="H672" s="116" t="s">
        <v>215</v>
      </c>
      <c r="I672" s="116" t="s">
        <v>141</v>
      </c>
      <c r="J672" s="116"/>
      <c r="K672" s="116"/>
      <c r="L672" s="116" t="s">
        <v>201</v>
      </c>
      <c r="M672" s="116" t="s">
        <v>140</v>
      </c>
      <c r="N672" s="116" t="s">
        <v>11</v>
      </c>
      <c r="O672" s="117" t="s">
        <v>2</v>
      </c>
      <c r="P672" s="117"/>
      <c r="Q672" s="117"/>
      <c r="R672" s="116" t="s">
        <v>10</v>
      </c>
      <c r="S672" s="116"/>
      <c r="T672" s="116" t="s">
        <v>115</v>
      </c>
    </row>
    <row r="673" spans="2:20" ht="14.1" customHeight="1" x14ac:dyDescent="0.3">
      <c r="B673" s="116" t="s">
        <v>5</v>
      </c>
      <c r="C673" s="116"/>
      <c r="D673" s="116"/>
      <c r="E673" s="116"/>
      <c r="F673" s="116"/>
      <c r="G673" s="116"/>
      <c r="H673" s="116"/>
      <c r="I673" s="9" t="s">
        <v>216</v>
      </c>
      <c r="J673" s="9" t="s">
        <v>217</v>
      </c>
      <c r="K673" s="9" t="s">
        <v>9</v>
      </c>
      <c r="L673" s="116"/>
      <c r="M673" s="116"/>
      <c r="N673" s="116"/>
      <c r="O673" s="9" t="s">
        <v>7</v>
      </c>
      <c r="P673" s="9" t="s">
        <v>8</v>
      </c>
      <c r="Q673" s="9" t="s">
        <v>9</v>
      </c>
      <c r="R673" s="9" t="s">
        <v>218</v>
      </c>
      <c r="S673" s="9" t="s">
        <v>219</v>
      </c>
      <c r="T673" s="116"/>
    </row>
    <row r="674" spans="2:20" x14ac:dyDescent="0.3">
      <c r="B674" s="116"/>
      <c r="C674" s="116"/>
      <c r="D674" s="116"/>
      <c r="E674" s="116"/>
      <c r="F674" s="116"/>
      <c r="G674" s="116"/>
      <c r="H674" s="17" t="s">
        <v>13</v>
      </c>
      <c r="I674" s="17" t="s">
        <v>220</v>
      </c>
      <c r="J674" s="17" t="s">
        <v>220</v>
      </c>
      <c r="K674" s="17" t="s">
        <v>220</v>
      </c>
      <c r="L674" s="17" t="s">
        <v>146</v>
      </c>
      <c r="M674" s="116"/>
      <c r="N674" s="116"/>
      <c r="O674" s="17" t="s">
        <v>220</v>
      </c>
      <c r="P674" s="17" t="s">
        <v>220</v>
      </c>
      <c r="Q674" s="17" t="s">
        <v>220</v>
      </c>
      <c r="R674" s="17" t="s">
        <v>14</v>
      </c>
      <c r="S674" s="17" t="s">
        <v>14</v>
      </c>
      <c r="T674" s="17" t="s">
        <v>117</v>
      </c>
    </row>
    <row r="675" spans="2:20" x14ac:dyDescent="0.3">
      <c r="B675" s="148"/>
      <c r="C675" s="148"/>
      <c r="D675" s="148"/>
      <c r="E675" s="68"/>
      <c r="F675" s="68"/>
      <c r="G675" s="39"/>
      <c r="H675" s="39"/>
      <c r="I675" s="39"/>
      <c r="J675" s="39"/>
      <c r="K675" s="39"/>
      <c r="L675" s="39"/>
      <c r="M675" s="68"/>
      <c r="N675" s="63"/>
      <c r="O675" s="63"/>
      <c r="P675" s="63"/>
      <c r="Q675" s="63"/>
      <c r="R675" s="63"/>
      <c r="S675" s="63"/>
      <c r="T675" s="63"/>
    </row>
    <row r="676" spans="2:20" x14ac:dyDescent="0.3">
      <c r="B676" s="148"/>
      <c r="C676" s="148"/>
      <c r="D676" s="148"/>
      <c r="E676" s="68"/>
      <c r="F676" s="68"/>
      <c r="G676" s="39"/>
      <c r="H676" s="39"/>
      <c r="I676" s="39"/>
      <c r="J676" s="39"/>
      <c r="K676" s="39"/>
      <c r="L676" s="39"/>
      <c r="M676" s="68"/>
      <c r="N676" s="63"/>
      <c r="O676" s="63"/>
      <c r="P676" s="63"/>
      <c r="Q676" s="63"/>
      <c r="R676" s="63"/>
      <c r="S676" s="63"/>
      <c r="T676" s="63"/>
    </row>
    <row r="677" spans="2:20" x14ac:dyDescent="0.3">
      <c r="B677" s="148"/>
      <c r="C677" s="148"/>
      <c r="D677" s="148"/>
      <c r="E677" s="81"/>
      <c r="F677" s="81"/>
      <c r="G677" s="81"/>
      <c r="H677" s="81"/>
      <c r="I677" s="81"/>
      <c r="J677" s="39"/>
      <c r="K677" s="81"/>
      <c r="L677" s="81"/>
      <c r="M677" s="81"/>
      <c r="N677" s="63"/>
      <c r="O677" s="63"/>
      <c r="P677" s="63"/>
      <c r="Q677" s="63"/>
      <c r="R677" s="63"/>
      <c r="S677" s="63"/>
      <c r="T677" s="63"/>
    </row>
    <row r="678" spans="2:20" x14ac:dyDescent="0.3">
      <c r="B678" s="148"/>
      <c r="C678" s="148"/>
      <c r="D678" s="148"/>
      <c r="E678" s="81"/>
      <c r="F678" s="81"/>
      <c r="G678" s="81"/>
      <c r="H678" s="81"/>
      <c r="I678" s="81"/>
      <c r="J678" s="39"/>
      <c r="K678" s="81"/>
      <c r="L678" s="81"/>
      <c r="M678" s="81"/>
      <c r="N678" s="63"/>
      <c r="O678" s="63"/>
      <c r="P678" s="63"/>
      <c r="Q678" s="63"/>
      <c r="R678" s="63"/>
      <c r="S678" s="63"/>
      <c r="T678" s="63"/>
    </row>
    <row r="679" spans="2:20" x14ac:dyDescent="0.3">
      <c r="B679" s="148"/>
      <c r="C679" s="148"/>
      <c r="D679" s="148"/>
      <c r="E679" s="81"/>
      <c r="F679" s="68"/>
      <c r="G679" s="39"/>
      <c r="H679" s="39"/>
      <c r="I679" s="39"/>
      <c r="J679" s="39"/>
      <c r="K679" s="39"/>
      <c r="L679" s="39"/>
      <c r="M679" s="68"/>
      <c r="N679" s="63"/>
      <c r="O679" s="63"/>
      <c r="P679" s="63"/>
      <c r="Q679" s="63"/>
      <c r="R679" s="63"/>
      <c r="S679" s="63"/>
      <c r="T679" s="63"/>
    </row>
    <row r="680" spans="2:20" x14ac:dyDescent="0.3">
      <c r="B680" s="148"/>
      <c r="C680" s="148"/>
      <c r="D680" s="148"/>
      <c r="E680" s="81"/>
      <c r="F680" s="81"/>
      <c r="G680" s="81"/>
      <c r="H680" s="39"/>
      <c r="I680" s="39"/>
      <c r="J680" s="39"/>
      <c r="K680" s="39"/>
      <c r="L680" s="39"/>
      <c r="M680" s="81"/>
      <c r="N680" s="63"/>
      <c r="O680" s="63"/>
      <c r="P680" s="63"/>
      <c r="Q680" s="63"/>
      <c r="R680" s="63"/>
      <c r="S680" s="63"/>
      <c r="T680" s="63"/>
    </row>
    <row r="681" spans="2:20" x14ac:dyDescent="0.3">
      <c r="B681" s="148"/>
      <c r="C681" s="148"/>
      <c r="D681" s="148"/>
      <c r="E681" s="81"/>
      <c r="F681" s="81"/>
      <c r="G681" s="81"/>
      <c r="H681" s="39"/>
      <c r="I681" s="39"/>
      <c r="J681" s="39"/>
      <c r="K681" s="39"/>
      <c r="L681" s="39"/>
      <c r="M681" s="81"/>
      <c r="N681" s="63"/>
      <c r="O681" s="63"/>
      <c r="P681" s="63"/>
      <c r="Q681" s="63"/>
      <c r="R681" s="63"/>
      <c r="S681" s="63"/>
      <c r="T681" s="63"/>
    </row>
    <row r="682" spans="2:20" x14ac:dyDescent="0.3">
      <c r="B682" s="148"/>
      <c r="C682" s="148"/>
      <c r="D682" s="148"/>
      <c r="E682" s="81"/>
      <c r="F682" s="81"/>
      <c r="G682" s="39"/>
      <c r="H682" s="81"/>
      <c r="I682" s="39"/>
      <c r="J682" s="39"/>
      <c r="K682" s="81"/>
      <c r="L682" s="39"/>
      <c r="M682" s="81"/>
      <c r="N682" s="63"/>
      <c r="O682" s="63"/>
      <c r="P682" s="63"/>
      <c r="Q682" s="63"/>
      <c r="R682" s="63"/>
      <c r="S682" s="63"/>
      <c r="T682" s="63"/>
    </row>
    <row r="683" spans="2:20" x14ac:dyDescent="0.3">
      <c r="B683" s="148"/>
      <c r="C683" s="148"/>
      <c r="D683" s="148"/>
      <c r="E683" s="81"/>
      <c r="F683" s="81"/>
      <c r="G683" s="39"/>
      <c r="H683" s="81"/>
      <c r="I683" s="39"/>
      <c r="J683" s="39"/>
      <c r="K683" s="81"/>
      <c r="L683" s="39"/>
      <c r="M683" s="81"/>
      <c r="N683" s="63"/>
      <c r="O683" s="63"/>
      <c r="P683" s="63"/>
      <c r="Q683" s="63"/>
      <c r="R683" s="63"/>
      <c r="S683" s="63"/>
      <c r="T683" s="63"/>
    </row>
    <row r="684" spans="2:20" x14ac:dyDescent="0.3">
      <c r="B684" s="148"/>
      <c r="C684" s="148"/>
      <c r="D684" s="148"/>
      <c r="E684" s="68"/>
      <c r="F684" s="68"/>
      <c r="G684" s="39"/>
      <c r="H684" s="39"/>
      <c r="I684" s="39"/>
      <c r="J684" s="39"/>
      <c r="K684" s="39"/>
      <c r="L684" s="39"/>
      <c r="M684" s="68"/>
      <c r="N684" s="63"/>
      <c r="O684" s="63"/>
      <c r="P684" s="63"/>
      <c r="Q684" s="63"/>
      <c r="R684" s="63"/>
      <c r="S684" s="63"/>
      <c r="T684" s="63"/>
    </row>
    <row r="685" spans="2:20" x14ac:dyDescent="0.3">
      <c r="B685" s="148"/>
      <c r="C685" s="148"/>
      <c r="D685" s="148"/>
      <c r="E685" s="68"/>
      <c r="F685" s="68"/>
      <c r="G685" s="39"/>
      <c r="H685" s="39"/>
      <c r="I685" s="39"/>
      <c r="J685" s="39"/>
      <c r="K685" s="39"/>
      <c r="L685" s="39"/>
      <c r="M685" s="68"/>
      <c r="N685" s="63"/>
      <c r="O685" s="63"/>
      <c r="P685" s="63"/>
      <c r="Q685" s="63"/>
      <c r="R685" s="63"/>
      <c r="S685" s="63"/>
      <c r="T685" s="63"/>
    </row>
    <row r="686" spans="2:20" x14ac:dyDescent="0.3">
      <c r="B686" s="148"/>
      <c r="C686" s="148"/>
      <c r="D686" s="148"/>
      <c r="E686" s="81"/>
      <c r="F686" s="81"/>
      <c r="G686" s="81"/>
      <c r="H686" s="81"/>
      <c r="I686" s="81"/>
      <c r="J686" s="39"/>
      <c r="K686" s="81"/>
      <c r="L686" s="81"/>
      <c r="M686" s="81"/>
      <c r="N686" s="63"/>
      <c r="O686" s="63"/>
      <c r="P686" s="63"/>
      <c r="Q686" s="63"/>
      <c r="R686" s="63"/>
      <c r="S686" s="63"/>
      <c r="T686" s="63"/>
    </row>
    <row r="687" spans="2:20" x14ac:dyDescent="0.3">
      <c r="B687" s="148"/>
      <c r="C687" s="148"/>
      <c r="D687" s="148"/>
      <c r="E687" s="81"/>
      <c r="F687" s="81"/>
      <c r="G687" s="81"/>
      <c r="H687" s="81"/>
      <c r="I687" s="81"/>
      <c r="J687" s="39"/>
      <c r="K687" s="81"/>
      <c r="L687" s="81"/>
      <c r="M687" s="81"/>
      <c r="N687" s="63"/>
      <c r="O687" s="63"/>
      <c r="P687" s="63"/>
      <c r="Q687" s="63"/>
      <c r="R687" s="63"/>
      <c r="S687" s="63"/>
      <c r="T687" s="63"/>
    </row>
    <row r="688" spans="2:20" x14ac:dyDescent="0.3">
      <c r="B688" s="148"/>
      <c r="C688" s="148"/>
      <c r="D688" s="148"/>
      <c r="E688" s="81"/>
      <c r="F688" s="68"/>
      <c r="G688" s="39"/>
      <c r="H688" s="39"/>
      <c r="I688" s="39"/>
      <c r="J688" s="39"/>
      <c r="K688" s="39"/>
      <c r="L688" s="39"/>
      <c r="M688" s="68"/>
      <c r="N688" s="63"/>
      <c r="O688" s="63"/>
      <c r="P688" s="63"/>
      <c r="Q688" s="63"/>
      <c r="R688" s="63"/>
      <c r="S688" s="63"/>
      <c r="T688" s="63"/>
    </row>
    <row r="689" spans="2:20" x14ac:dyDescent="0.3">
      <c r="B689" s="148"/>
      <c r="C689" s="148"/>
      <c r="D689" s="148"/>
      <c r="E689" s="81"/>
      <c r="F689" s="81"/>
      <c r="G689" s="81"/>
      <c r="H689" s="39"/>
      <c r="I689" s="39"/>
      <c r="J689" s="39"/>
      <c r="K689" s="39"/>
      <c r="L689" s="39"/>
      <c r="M689" s="81"/>
      <c r="N689" s="63"/>
      <c r="O689" s="63"/>
      <c r="P689" s="63"/>
      <c r="Q689" s="63"/>
      <c r="R689" s="63"/>
      <c r="S689" s="63"/>
      <c r="T689" s="63"/>
    </row>
    <row r="690" spans="2:20" x14ac:dyDescent="0.3">
      <c r="B690" s="148"/>
      <c r="C690" s="148"/>
      <c r="D690" s="148"/>
      <c r="E690" s="81"/>
      <c r="F690" s="81"/>
      <c r="G690" s="81"/>
      <c r="H690" s="39"/>
      <c r="I690" s="39"/>
      <c r="J690" s="39"/>
      <c r="K690" s="39"/>
      <c r="L690" s="39"/>
      <c r="M690" s="81"/>
      <c r="N690" s="63"/>
      <c r="O690" s="63"/>
      <c r="P690" s="63"/>
      <c r="Q690" s="63"/>
      <c r="R690" s="63"/>
      <c r="S690" s="63"/>
      <c r="T690" s="63"/>
    </row>
    <row r="691" spans="2:20" x14ac:dyDescent="0.3">
      <c r="B691" s="148"/>
      <c r="C691" s="148"/>
      <c r="D691" s="148"/>
      <c r="E691" s="81"/>
      <c r="F691" s="81"/>
      <c r="G691" s="39"/>
      <c r="H691" s="81"/>
      <c r="I691" s="39"/>
      <c r="J691" s="39"/>
      <c r="K691" s="81"/>
      <c r="L691" s="39"/>
      <c r="M691" s="81"/>
      <c r="N691" s="63"/>
      <c r="O691" s="63"/>
      <c r="P691" s="63"/>
      <c r="Q691" s="63"/>
      <c r="R691" s="63"/>
      <c r="S691" s="63"/>
      <c r="T691" s="63"/>
    </row>
    <row r="692" spans="2:20" ht="14.1" customHeight="1" x14ac:dyDescent="0.3">
      <c r="B692" s="132" t="s">
        <v>29</v>
      </c>
      <c r="C692" s="132"/>
      <c r="D692" s="132"/>
      <c r="E692" s="132"/>
      <c r="F692" s="132"/>
      <c r="G692" s="132"/>
      <c r="H692" s="54">
        <f>SUM(H675:H691)</f>
        <v>0</v>
      </c>
      <c r="I692" s="54"/>
      <c r="J692" s="54"/>
      <c r="K692" s="54"/>
      <c r="L692" s="54"/>
      <c r="M692" s="54"/>
      <c r="N692" s="54"/>
      <c r="O692" s="54"/>
      <c r="P692" s="54"/>
      <c r="Q692" s="54"/>
      <c r="R692" s="54">
        <f>SUM(R675:R691)</f>
        <v>0</v>
      </c>
      <c r="S692" s="54">
        <f>SUM(S675:S691)</f>
        <v>0</v>
      </c>
      <c r="T692" s="54"/>
    </row>
  </sheetData>
  <mergeCells count="767">
    <mergeCell ref="B1:F1"/>
    <mergeCell ref="B3:E3"/>
    <mergeCell ref="B5:C5"/>
    <mergeCell ref="B7:E7"/>
    <mergeCell ref="E9:E11"/>
    <mergeCell ref="F9:G9"/>
    <mergeCell ref="H9:H10"/>
    <mergeCell ref="I9:I10"/>
    <mergeCell ref="J9:J10"/>
    <mergeCell ref="K9:K10"/>
    <mergeCell ref="L9:L10"/>
    <mergeCell ref="M9:O9"/>
    <mergeCell ref="B10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H32"/>
    <mergeCell ref="B34:F34"/>
    <mergeCell ref="E36:E38"/>
    <mergeCell ref="F36:H36"/>
    <mergeCell ref="I36:L36"/>
    <mergeCell ref="M36:O36"/>
    <mergeCell ref="B37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H59"/>
    <mergeCell ref="B61:F61"/>
    <mergeCell ref="E63:E65"/>
    <mergeCell ref="F63:H63"/>
    <mergeCell ref="I63:L63"/>
    <mergeCell ref="M63:O63"/>
    <mergeCell ref="B64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H86"/>
    <mergeCell ref="B88:F88"/>
    <mergeCell ref="E90:E92"/>
    <mergeCell ref="F90:H90"/>
    <mergeCell ref="I90:L90"/>
    <mergeCell ref="M90:O90"/>
    <mergeCell ref="B91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H113"/>
    <mergeCell ref="B115:F115"/>
    <mergeCell ref="E117:E119"/>
    <mergeCell ref="F117:H117"/>
    <mergeCell ref="I117:L117"/>
    <mergeCell ref="M117:O117"/>
    <mergeCell ref="B118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H140"/>
    <mergeCell ref="B142:F142"/>
    <mergeCell ref="E144:E146"/>
    <mergeCell ref="F144:H144"/>
    <mergeCell ref="I144:L144"/>
    <mergeCell ref="M144:O144"/>
    <mergeCell ref="B145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H167"/>
    <mergeCell ref="B169:F169"/>
    <mergeCell ref="E173:E175"/>
    <mergeCell ref="F173:F174"/>
    <mergeCell ref="G173:G174"/>
    <mergeCell ref="H173:H174"/>
    <mergeCell ref="I173:I174"/>
    <mergeCell ref="J173:J174"/>
    <mergeCell ref="K173:K174"/>
    <mergeCell ref="L173:O173"/>
    <mergeCell ref="B174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H196"/>
    <mergeCell ref="E200:E202"/>
    <mergeCell ref="F200:F201"/>
    <mergeCell ref="G200:G201"/>
    <mergeCell ref="H200:H201"/>
    <mergeCell ref="I200:I201"/>
    <mergeCell ref="J200:J201"/>
    <mergeCell ref="K200:K201"/>
    <mergeCell ref="L200:O200"/>
    <mergeCell ref="B201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H223"/>
    <mergeCell ref="E227:E229"/>
    <mergeCell ref="F227:F228"/>
    <mergeCell ref="G227:G228"/>
    <mergeCell ref="H227:H228"/>
    <mergeCell ref="I227:I228"/>
    <mergeCell ref="J227:J228"/>
    <mergeCell ref="K227:K228"/>
    <mergeCell ref="L227:O227"/>
    <mergeCell ref="B228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H250"/>
    <mergeCell ref="B252:D252"/>
    <mergeCell ref="E254:E256"/>
    <mergeCell ref="F254:F255"/>
    <mergeCell ref="G254:G255"/>
    <mergeCell ref="H254:H255"/>
    <mergeCell ref="I254:I255"/>
    <mergeCell ref="J254:J255"/>
    <mergeCell ref="K254:K255"/>
    <mergeCell ref="L254:O254"/>
    <mergeCell ref="B255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H277"/>
    <mergeCell ref="B279:E279"/>
    <mergeCell ref="E281:E283"/>
    <mergeCell ref="F281:F282"/>
    <mergeCell ref="G281:G282"/>
    <mergeCell ref="H281:H282"/>
    <mergeCell ref="I281:I282"/>
    <mergeCell ref="J281:J282"/>
    <mergeCell ref="K281:K282"/>
    <mergeCell ref="L281:O281"/>
    <mergeCell ref="B282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H304"/>
    <mergeCell ref="B306:E306"/>
    <mergeCell ref="E308:E310"/>
    <mergeCell ref="F308:F309"/>
    <mergeCell ref="G308:G309"/>
    <mergeCell ref="H308:H309"/>
    <mergeCell ref="I308:I309"/>
    <mergeCell ref="J308:J309"/>
    <mergeCell ref="K308:K309"/>
    <mergeCell ref="L308:O308"/>
    <mergeCell ref="B309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H331"/>
    <mergeCell ref="B333:E333"/>
    <mergeCell ref="E335:E337"/>
    <mergeCell ref="F335:F336"/>
    <mergeCell ref="G335:G336"/>
    <mergeCell ref="H335:H336"/>
    <mergeCell ref="I335:I336"/>
    <mergeCell ref="J335:J336"/>
    <mergeCell ref="K335:K336"/>
    <mergeCell ref="L335:O335"/>
    <mergeCell ref="B336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H358"/>
    <mergeCell ref="B360:C360"/>
    <mergeCell ref="E362:E364"/>
    <mergeCell ref="F362:F364"/>
    <mergeCell ref="G362:G364"/>
    <mergeCell ref="H362:H364"/>
    <mergeCell ref="I362:I364"/>
    <mergeCell ref="J362:J364"/>
    <mergeCell ref="K362:N362"/>
    <mergeCell ref="O362:R362"/>
    <mergeCell ref="S362:W362"/>
    <mergeCell ref="X362:Y362"/>
    <mergeCell ref="Z362:AA362"/>
    <mergeCell ref="AB362:AD362"/>
    <mergeCell ref="B363:D364"/>
    <mergeCell ref="O363:O364"/>
    <mergeCell ref="B365:D365"/>
    <mergeCell ref="B366:D366"/>
    <mergeCell ref="B367:D367"/>
    <mergeCell ref="B368:D368"/>
    <mergeCell ref="B370:E370"/>
    <mergeCell ref="E372:E374"/>
    <mergeCell ref="F372:F373"/>
    <mergeCell ref="G372:G373"/>
    <mergeCell ref="H372:H373"/>
    <mergeCell ref="I372:I373"/>
    <mergeCell ref="J372:J373"/>
    <mergeCell ref="K372:K373"/>
    <mergeCell ref="L372:O372"/>
    <mergeCell ref="B373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H395"/>
    <mergeCell ref="B397:E397"/>
    <mergeCell ref="E399:E401"/>
    <mergeCell ref="F399:F400"/>
    <mergeCell ref="G399:G400"/>
    <mergeCell ref="H399:H400"/>
    <mergeCell ref="I399:I400"/>
    <mergeCell ref="J399:J400"/>
    <mergeCell ref="K399:K400"/>
    <mergeCell ref="L399:O399"/>
    <mergeCell ref="B400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H422"/>
    <mergeCell ref="B424:F424"/>
    <mergeCell ref="E426:E428"/>
    <mergeCell ref="F426:F427"/>
    <mergeCell ref="G426:G427"/>
    <mergeCell ref="H426:H427"/>
    <mergeCell ref="I426:I427"/>
    <mergeCell ref="J426:J427"/>
    <mergeCell ref="K426:K427"/>
    <mergeCell ref="L426:O426"/>
    <mergeCell ref="B427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H449"/>
    <mergeCell ref="B451:E451"/>
    <mergeCell ref="E455:E457"/>
    <mergeCell ref="F455:F456"/>
    <mergeCell ref="G455:G457"/>
    <mergeCell ref="H455:I455"/>
    <mergeCell ref="J455:J456"/>
    <mergeCell ref="K455:K456"/>
    <mergeCell ref="L455:P455"/>
    <mergeCell ref="B456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I478"/>
    <mergeCell ref="E482:E484"/>
    <mergeCell ref="F482:F483"/>
    <mergeCell ref="G482:G484"/>
    <mergeCell ref="H482:I482"/>
    <mergeCell ref="J482:J483"/>
    <mergeCell ref="K482:K483"/>
    <mergeCell ref="L482:P482"/>
    <mergeCell ref="B483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I505"/>
    <mergeCell ref="E509:E511"/>
    <mergeCell ref="F509:F510"/>
    <mergeCell ref="G509:G511"/>
    <mergeCell ref="H509:I509"/>
    <mergeCell ref="J509:J510"/>
    <mergeCell ref="K509:K510"/>
    <mergeCell ref="L509:P509"/>
    <mergeCell ref="B510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I532"/>
    <mergeCell ref="B534:E534"/>
    <mergeCell ref="E536:E538"/>
    <mergeCell ref="F536:F537"/>
    <mergeCell ref="G536:G538"/>
    <mergeCell ref="H536:I536"/>
    <mergeCell ref="J536:J537"/>
    <mergeCell ref="K536:K537"/>
    <mergeCell ref="L536:P536"/>
    <mergeCell ref="B537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I559"/>
    <mergeCell ref="B561:E561"/>
    <mergeCell ref="E563:E565"/>
    <mergeCell ref="F563:F564"/>
    <mergeCell ref="G563:G565"/>
    <mergeCell ref="H563:I563"/>
    <mergeCell ref="J563:J564"/>
    <mergeCell ref="K563:K564"/>
    <mergeCell ref="L563:P563"/>
    <mergeCell ref="B564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I586"/>
    <mergeCell ref="B588:E588"/>
    <mergeCell ref="E590:E592"/>
    <mergeCell ref="F590:F591"/>
    <mergeCell ref="G590:G592"/>
    <mergeCell ref="H590:I590"/>
    <mergeCell ref="J590:J591"/>
    <mergeCell ref="K590:K591"/>
    <mergeCell ref="L590:P590"/>
    <mergeCell ref="B591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I613"/>
    <mergeCell ref="B615:E615"/>
    <mergeCell ref="E617:E619"/>
    <mergeCell ref="F617:F618"/>
    <mergeCell ref="G617:G619"/>
    <mergeCell ref="H617:I617"/>
    <mergeCell ref="J617:J618"/>
    <mergeCell ref="K617:K618"/>
    <mergeCell ref="L617:P617"/>
    <mergeCell ref="B618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I640"/>
    <mergeCell ref="B642:E642"/>
    <mergeCell ref="E644:E646"/>
    <mergeCell ref="F644:F645"/>
    <mergeCell ref="G644:G646"/>
    <mergeCell ref="H644:I644"/>
    <mergeCell ref="J644:J645"/>
    <mergeCell ref="K644:K645"/>
    <mergeCell ref="L644:P644"/>
    <mergeCell ref="B645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I667"/>
    <mergeCell ref="B669:E669"/>
    <mergeCell ref="E671:L671"/>
    <mergeCell ref="M671:T671"/>
    <mergeCell ref="E672:E674"/>
    <mergeCell ref="F672:F674"/>
    <mergeCell ref="G672:G674"/>
    <mergeCell ref="H672:H673"/>
    <mergeCell ref="I672:K672"/>
    <mergeCell ref="L672:L673"/>
    <mergeCell ref="M672:M674"/>
    <mergeCell ref="N672:N674"/>
    <mergeCell ref="O672:Q672"/>
    <mergeCell ref="R672:S672"/>
    <mergeCell ref="T672:T673"/>
    <mergeCell ref="B673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92:G69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48576"/>
  <sheetViews>
    <sheetView topLeftCell="A222" zoomScale="160" zoomScaleNormal="160" workbookViewId="0">
      <selection activeCell="C241" sqref="C241"/>
    </sheetView>
  </sheetViews>
  <sheetFormatPr defaultColWidth="7.6640625" defaultRowHeight="13.8" x14ac:dyDescent="0.3"/>
  <cols>
    <col min="1" max="1" width="7.6640625" style="34"/>
    <col min="2" max="16384" width="7.6640625" style="62"/>
  </cols>
  <sheetData>
    <row r="1" spans="1:22" ht="14.1" customHeight="1" x14ac:dyDescent="0.3">
      <c r="B1" s="146" t="str">
        <f>'Levantamento Campo'!B1</f>
        <v>Prj Estande de Tiro (50 m) – 5º BIL (Amv)</v>
      </c>
      <c r="C1" s="146"/>
      <c r="D1" s="146"/>
      <c r="E1" s="146"/>
      <c r="F1" s="146"/>
    </row>
    <row r="2" spans="1:22" ht="14.1" customHeight="1" x14ac:dyDescent="0.3">
      <c r="B2" s="45"/>
    </row>
    <row r="3" spans="1:22" ht="14.1" customHeight="1" x14ac:dyDescent="0.3">
      <c r="A3" s="34" t="s">
        <v>221</v>
      </c>
      <c r="B3" s="143" t="s">
        <v>222</v>
      </c>
      <c r="C3" s="143"/>
      <c r="D3" s="143"/>
    </row>
    <row r="4" spans="1:22" ht="14.1" customHeight="1" x14ac:dyDescent="0.3">
      <c r="B4" s="11"/>
      <c r="C4" s="11"/>
      <c r="D4" s="11"/>
    </row>
    <row r="5" spans="1:22" ht="14.1" customHeight="1" x14ac:dyDescent="0.3">
      <c r="A5" s="34" t="s">
        <v>223</v>
      </c>
      <c r="B5" s="11" t="s">
        <v>224</v>
      </c>
      <c r="C5" s="11"/>
      <c r="D5" s="11"/>
    </row>
    <row r="6" spans="1:22" ht="14.1" customHeight="1" x14ac:dyDescent="0.3">
      <c r="B6" s="11"/>
      <c r="C6" s="11"/>
      <c r="D6" s="11"/>
    </row>
    <row r="7" spans="1:22" ht="14.1" customHeight="1" x14ac:dyDescent="0.3">
      <c r="B7" s="15"/>
      <c r="C7" s="15"/>
      <c r="D7" s="15"/>
      <c r="E7" s="117" t="s">
        <v>225</v>
      </c>
      <c r="F7" s="117"/>
      <c r="G7" s="117"/>
      <c r="H7" s="117"/>
      <c r="I7" s="117"/>
      <c r="J7" s="117"/>
      <c r="K7" s="117" t="s">
        <v>226</v>
      </c>
      <c r="L7" s="117"/>
      <c r="M7" s="117"/>
      <c r="N7" s="117"/>
      <c r="O7" s="117"/>
      <c r="P7" s="117"/>
      <c r="Q7" s="117" t="s">
        <v>227</v>
      </c>
      <c r="R7" s="117"/>
      <c r="S7" s="117"/>
      <c r="T7" s="117"/>
      <c r="U7" s="117"/>
      <c r="V7" s="117"/>
    </row>
    <row r="8" spans="1:22" ht="14.1" customHeight="1" x14ac:dyDescent="0.3">
      <c r="B8" s="116" t="s">
        <v>5</v>
      </c>
      <c r="C8" s="116"/>
      <c r="D8" s="116"/>
      <c r="E8" s="116" t="s">
        <v>140</v>
      </c>
      <c r="F8" s="9" t="s">
        <v>6</v>
      </c>
      <c r="G8" s="9" t="s">
        <v>7</v>
      </c>
      <c r="H8" s="9" t="s">
        <v>8</v>
      </c>
      <c r="I8" s="9" t="s">
        <v>3</v>
      </c>
      <c r="J8" s="9" t="s">
        <v>10</v>
      </c>
      <c r="K8" s="116" t="s">
        <v>140</v>
      </c>
      <c r="L8" s="9" t="s">
        <v>6</v>
      </c>
      <c r="M8" s="9" t="s">
        <v>7</v>
      </c>
      <c r="N8" s="9" t="s">
        <v>8</v>
      </c>
      <c r="O8" s="9" t="s">
        <v>3</v>
      </c>
      <c r="P8" s="9" t="s">
        <v>10</v>
      </c>
      <c r="Q8" s="116" t="s">
        <v>140</v>
      </c>
      <c r="R8" s="9" t="s">
        <v>6</v>
      </c>
      <c r="S8" s="9" t="s">
        <v>7</v>
      </c>
      <c r="T8" s="9" t="s">
        <v>8</v>
      </c>
      <c r="U8" s="9" t="s">
        <v>3</v>
      </c>
      <c r="V8" s="9" t="s">
        <v>10</v>
      </c>
    </row>
    <row r="9" spans="1:22" ht="14.1" customHeight="1" x14ac:dyDescent="0.3">
      <c r="B9" s="116"/>
      <c r="C9" s="116"/>
      <c r="D9" s="116"/>
      <c r="E9" s="116"/>
      <c r="F9" s="17" t="s">
        <v>13</v>
      </c>
      <c r="G9" s="17" t="s">
        <v>13</v>
      </c>
      <c r="H9" s="17" t="s">
        <v>13</v>
      </c>
      <c r="I9" s="17" t="s">
        <v>14</v>
      </c>
      <c r="J9" s="17" t="s">
        <v>14</v>
      </c>
      <c r="K9" s="116"/>
      <c r="L9" s="17" t="s">
        <v>13</v>
      </c>
      <c r="M9" s="17" t="s">
        <v>13</v>
      </c>
      <c r="N9" s="17" t="s">
        <v>13</v>
      </c>
      <c r="O9" s="17" t="s">
        <v>14</v>
      </c>
      <c r="P9" s="17" t="s">
        <v>14</v>
      </c>
      <c r="Q9" s="116"/>
      <c r="R9" s="17" t="s">
        <v>13</v>
      </c>
      <c r="S9" s="17" t="s">
        <v>13</v>
      </c>
      <c r="T9" s="17" t="s">
        <v>13</v>
      </c>
      <c r="U9" s="17" t="s">
        <v>14</v>
      </c>
      <c r="V9" s="17" t="s">
        <v>14</v>
      </c>
    </row>
    <row r="10" spans="1:22" ht="14.1" customHeight="1" x14ac:dyDescent="0.3">
      <c r="B10" s="155">
        <f>'Levantamento Campo'!B8</f>
        <v>0</v>
      </c>
      <c r="C10" s="155"/>
      <c r="D10" s="155"/>
      <c r="E10" s="82"/>
      <c r="F10" s="39"/>
      <c r="G10" s="39"/>
      <c r="H10" s="39"/>
      <c r="I10" s="39"/>
      <c r="J10" s="39"/>
      <c r="K10" s="82"/>
      <c r="L10" s="39"/>
      <c r="M10" s="39"/>
      <c r="N10" s="39"/>
      <c r="O10" s="39"/>
      <c r="P10" s="39"/>
      <c r="Q10" s="82"/>
      <c r="R10" s="39"/>
      <c r="S10" s="39"/>
      <c r="T10" s="39"/>
      <c r="U10" s="39"/>
      <c r="V10" s="39"/>
    </row>
    <row r="11" spans="1:22" ht="14.1" customHeight="1" x14ac:dyDescent="0.3">
      <c r="B11" s="155">
        <f>'Levantamento Campo'!B9</f>
        <v>0</v>
      </c>
      <c r="C11" s="155"/>
      <c r="D11" s="155"/>
      <c r="E11" s="82"/>
      <c r="F11" s="39"/>
      <c r="G11" s="39"/>
      <c r="H11" s="39"/>
      <c r="I11" s="39"/>
      <c r="J11" s="39"/>
      <c r="K11" s="82"/>
      <c r="L11" s="39"/>
      <c r="M11" s="39"/>
      <c r="N11" s="39"/>
      <c r="O11" s="39"/>
      <c r="P11" s="39"/>
      <c r="Q11" s="82"/>
      <c r="R11" s="39"/>
      <c r="S11" s="39"/>
      <c r="T11" s="39"/>
      <c r="U11" s="39"/>
      <c r="V11" s="39"/>
    </row>
    <row r="12" spans="1:22" ht="14.1" customHeight="1" x14ac:dyDescent="0.3">
      <c r="B12" s="155">
        <f>'Levantamento Campo'!B10</f>
        <v>0</v>
      </c>
      <c r="C12" s="155"/>
      <c r="D12" s="155"/>
      <c r="E12" s="82"/>
      <c r="F12" s="39"/>
      <c r="G12" s="39"/>
      <c r="H12" s="39"/>
      <c r="I12" s="39"/>
      <c r="J12" s="39"/>
      <c r="K12" s="82"/>
      <c r="L12" s="39"/>
      <c r="M12" s="39"/>
      <c r="N12" s="39"/>
      <c r="O12" s="39"/>
      <c r="P12" s="39"/>
      <c r="Q12" s="82"/>
      <c r="R12" s="39"/>
      <c r="S12" s="39"/>
      <c r="T12" s="39"/>
      <c r="U12" s="39"/>
      <c r="V12" s="39"/>
    </row>
    <row r="13" spans="1:22" ht="14.1" customHeight="1" x14ac:dyDescent="0.3">
      <c r="B13" s="155">
        <f>'Levantamento Campo'!B11</f>
        <v>0</v>
      </c>
      <c r="C13" s="155"/>
      <c r="D13" s="155"/>
      <c r="E13" s="82"/>
      <c r="F13" s="39"/>
      <c r="G13" s="39"/>
      <c r="H13" s="39"/>
      <c r="I13" s="39"/>
      <c r="J13" s="39"/>
      <c r="K13" s="82"/>
      <c r="L13" s="39"/>
      <c r="M13" s="39"/>
      <c r="N13" s="39"/>
      <c r="O13" s="39"/>
      <c r="P13" s="39"/>
      <c r="Q13" s="82"/>
      <c r="R13" s="39"/>
      <c r="S13" s="39"/>
      <c r="T13" s="39"/>
      <c r="U13" s="39"/>
      <c r="V13" s="39"/>
    </row>
    <row r="14" spans="1:22" ht="14.1" customHeight="1" x14ac:dyDescent="0.3">
      <c r="B14" s="155">
        <f>'Levantamento Campo'!B12</f>
        <v>0</v>
      </c>
      <c r="C14" s="155"/>
      <c r="D14" s="155"/>
      <c r="E14" s="82"/>
      <c r="F14" s="39"/>
      <c r="G14" s="39"/>
      <c r="H14" s="39"/>
      <c r="I14" s="39"/>
      <c r="J14" s="39"/>
      <c r="K14" s="82"/>
      <c r="L14" s="39"/>
      <c r="M14" s="39"/>
      <c r="N14" s="39"/>
      <c r="O14" s="39"/>
      <c r="P14" s="39"/>
      <c r="Q14" s="82"/>
      <c r="R14" s="39"/>
      <c r="S14" s="39"/>
      <c r="T14" s="39"/>
      <c r="U14" s="39"/>
      <c r="V14" s="39"/>
    </row>
    <row r="15" spans="1:22" ht="14.1" customHeight="1" x14ac:dyDescent="0.3">
      <c r="B15" s="155">
        <f>'Levantamento Campo'!B13</f>
        <v>0</v>
      </c>
      <c r="C15" s="155"/>
      <c r="D15" s="155"/>
      <c r="E15" s="82"/>
      <c r="F15" s="39"/>
      <c r="G15" s="39"/>
      <c r="H15" s="39"/>
      <c r="I15" s="39"/>
      <c r="J15" s="39"/>
      <c r="K15" s="82"/>
      <c r="L15" s="39"/>
      <c r="M15" s="39"/>
      <c r="N15" s="39"/>
      <c r="O15" s="39"/>
      <c r="P15" s="39"/>
      <c r="Q15" s="82"/>
      <c r="R15" s="39"/>
      <c r="S15" s="39"/>
      <c r="T15" s="39"/>
      <c r="U15" s="39"/>
      <c r="V15" s="39"/>
    </row>
    <row r="16" spans="1:22" ht="14.1" customHeight="1" x14ac:dyDescent="0.3">
      <c r="B16" s="155">
        <f>'Levantamento Campo'!B14</f>
        <v>0</v>
      </c>
      <c r="C16" s="155"/>
      <c r="D16" s="155"/>
      <c r="E16" s="82"/>
      <c r="F16" s="39"/>
      <c r="G16" s="39"/>
      <c r="H16" s="39"/>
      <c r="I16" s="39"/>
      <c r="J16" s="39"/>
      <c r="K16" s="82"/>
      <c r="L16" s="39"/>
      <c r="M16" s="39"/>
      <c r="N16" s="39"/>
      <c r="O16" s="39"/>
      <c r="P16" s="39"/>
      <c r="Q16" s="82"/>
      <c r="R16" s="39"/>
      <c r="S16" s="39"/>
      <c r="T16" s="39"/>
      <c r="U16" s="39"/>
      <c r="V16" s="39"/>
    </row>
    <row r="17" spans="1:22" ht="14.1" customHeight="1" x14ac:dyDescent="0.3">
      <c r="B17" s="155">
        <f>'Levantamento Campo'!B15</f>
        <v>0</v>
      </c>
      <c r="C17" s="155"/>
      <c r="D17" s="155"/>
      <c r="E17" s="82"/>
      <c r="F17" s="39"/>
      <c r="G17" s="39"/>
      <c r="H17" s="39"/>
      <c r="I17" s="39"/>
      <c r="J17" s="39"/>
      <c r="K17" s="82"/>
      <c r="L17" s="39"/>
      <c r="M17" s="39"/>
      <c r="N17" s="39"/>
      <c r="O17" s="39"/>
      <c r="P17" s="39"/>
      <c r="Q17" s="82"/>
      <c r="R17" s="39"/>
      <c r="S17" s="39"/>
      <c r="T17" s="39"/>
      <c r="U17" s="39"/>
      <c r="V17" s="39"/>
    </row>
    <row r="18" spans="1:22" ht="14.1" customHeight="1" x14ac:dyDescent="0.3">
      <c r="B18" s="155">
        <f>'Levantamento Campo'!B16</f>
        <v>0</v>
      </c>
      <c r="C18" s="155"/>
      <c r="D18" s="155"/>
      <c r="E18" s="82"/>
      <c r="F18" s="39"/>
      <c r="G18" s="39"/>
      <c r="H18" s="39"/>
      <c r="I18" s="39"/>
      <c r="J18" s="39"/>
      <c r="K18" s="82"/>
      <c r="L18" s="39"/>
      <c r="M18" s="39"/>
      <c r="N18" s="39"/>
      <c r="O18" s="39"/>
      <c r="P18" s="39"/>
      <c r="Q18" s="82"/>
      <c r="R18" s="39"/>
      <c r="S18" s="39"/>
      <c r="T18" s="39"/>
      <c r="U18" s="39"/>
      <c r="V18" s="39"/>
    </row>
    <row r="19" spans="1:22" ht="14.1" customHeight="1" x14ac:dyDescent="0.3">
      <c r="B19" s="155">
        <f>'Levantamento Campo'!B17</f>
        <v>0</v>
      </c>
      <c r="C19" s="155"/>
      <c r="D19" s="155"/>
      <c r="E19" s="82"/>
      <c r="F19" s="39"/>
      <c r="G19" s="39"/>
      <c r="H19" s="39"/>
      <c r="I19" s="39"/>
      <c r="J19" s="39"/>
      <c r="K19" s="82"/>
      <c r="L19" s="39"/>
      <c r="M19" s="39"/>
      <c r="N19" s="39"/>
      <c r="O19" s="39"/>
      <c r="P19" s="39"/>
      <c r="Q19" s="82"/>
      <c r="R19" s="39"/>
      <c r="S19" s="39"/>
      <c r="T19" s="39"/>
      <c r="U19" s="39"/>
      <c r="V19" s="39"/>
    </row>
    <row r="20" spans="1:22" ht="14.1" customHeight="1" x14ac:dyDescent="0.3">
      <c r="B20" s="155">
        <f>'Levantamento Campo'!B18</f>
        <v>0</v>
      </c>
      <c r="C20" s="155"/>
      <c r="D20" s="155"/>
      <c r="E20" s="82"/>
      <c r="F20" s="39"/>
      <c r="G20" s="39"/>
      <c r="H20" s="39"/>
      <c r="I20" s="39"/>
      <c r="J20" s="39"/>
      <c r="K20" s="82"/>
      <c r="L20" s="39"/>
      <c r="M20" s="39"/>
      <c r="N20" s="39"/>
      <c r="O20" s="39"/>
      <c r="P20" s="39"/>
      <c r="Q20" s="82"/>
      <c r="R20" s="39"/>
      <c r="S20" s="39"/>
      <c r="T20" s="39"/>
      <c r="U20" s="39"/>
      <c r="V20" s="39"/>
    </row>
    <row r="21" spans="1:22" ht="14.1" customHeight="1" x14ac:dyDescent="0.3">
      <c r="B21" s="155">
        <f>'Levantamento Campo'!B19</f>
        <v>0</v>
      </c>
      <c r="C21" s="155"/>
      <c r="D21" s="155"/>
      <c r="E21" s="82"/>
      <c r="F21" s="39"/>
      <c r="G21" s="39"/>
      <c r="H21" s="39"/>
      <c r="I21" s="39"/>
      <c r="J21" s="68"/>
      <c r="K21" s="82"/>
      <c r="L21" s="39"/>
      <c r="M21" s="39"/>
      <c r="N21" s="39"/>
      <c r="O21" s="39"/>
      <c r="P21" s="68"/>
      <c r="Q21" s="82"/>
      <c r="R21" s="39"/>
      <c r="S21" s="39"/>
      <c r="T21" s="39"/>
      <c r="U21" s="39"/>
      <c r="V21" s="68"/>
    </row>
    <row r="22" spans="1:22" ht="14.1" customHeight="1" x14ac:dyDescent="0.3">
      <c r="B22" s="155">
        <f>'Levantamento Campo'!B20</f>
        <v>0</v>
      </c>
      <c r="C22" s="155"/>
      <c r="D22" s="155"/>
      <c r="E22" s="82"/>
      <c r="F22" s="39"/>
      <c r="G22" s="39"/>
      <c r="H22" s="39"/>
      <c r="I22" s="39"/>
      <c r="J22" s="68"/>
      <c r="K22" s="82"/>
      <c r="L22" s="39"/>
      <c r="M22" s="39"/>
      <c r="N22" s="39"/>
      <c r="O22" s="39"/>
      <c r="P22" s="68"/>
      <c r="Q22" s="82"/>
      <c r="R22" s="39"/>
      <c r="S22" s="39"/>
      <c r="T22" s="39"/>
      <c r="U22" s="39"/>
      <c r="V22" s="68"/>
    </row>
    <row r="23" spans="1:22" ht="14.1" customHeight="1" x14ac:dyDescent="0.3">
      <c r="B23" s="155">
        <f>'Levantamento Campo'!B21</f>
        <v>0</v>
      </c>
      <c r="C23" s="155"/>
      <c r="D23" s="155"/>
      <c r="E23" s="82"/>
      <c r="F23" s="39"/>
      <c r="G23" s="39"/>
      <c r="H23" s="39"/>
      <c r="I23" s="39"/>
      <c r="J23" s="68"/>
      <c r="K23" s="82"/>
      <c r="L23" s="39"/>
      <c r="M23" s="39"/>
      <c r="N23" s="39"/>
      <c r="O23" s="39"/>
      <c r="P23" s="68"/>
      <c r="Q23" s="82"/>
      <c r="R23" s="39"/>
      <c r="S23" s="39"/>
      <c r="T23" s="39"/>
      <c r="U23" s="39"/>
      <c r="V23" s="68"/>
    </row>
    <row r="24" spans="1:22" ht="14.1" customHeight="1" x14ac:dyDescent="0.3">
      <c r="B24" s="155">
        <f>'Levantamento Campo'!B22</f>
        <v>0</v>
      </c>
      <c r="C24" s="155"/>
      <c r="D24" s="155"/>
      <c r="E24" s="82"/>
      <c r="F24" s="39"/>
      <c r="G24" s="39"/>
      <c r="H24" s="39"/>
      <c r="I24" s="39"/>
      <c r="J24" s="68"/>
      <c r="K24" s="82"/>
      <c r="L24" s="39"/>
      <c r="M24" s="39"/>
      <c r="N24" s="39"/>
      <c r="O24" s="39"/>
      <c r="P24" s="68"/>
      <c r="Q24" s="82"/>
      <c r="R24" s="39"/>
      <c r="S24" s="39"/>
      <c r="T24" s="39"/>
      <c r="U24" s="39"/>
      <c r="V24" s="68"/>
    </row>
    <row r="25" spans="1:22" ht="14.1" customHeight="1" x14ac:dyDescent="0.3">
      <c r="B25" s="155">
        <f>'Levantamento Campo'!B23</f>
        <v>0</v>
      </c>
      <c r="C25" s="155"/>
      <c r="D25" s="155"/>
      <c r="E25" s="82"/>
      <c r="F25" s="39"/>
      <c r="G25" s="39"/>
      <c r="H25" s="39"/>
      <c r="I25" s="39"/>
      <c r="J25" s="39"/>
      <c r="K25" s="82"/>
      <c r="L25" s="39"/>
      <c r="M25" s="39"/>
      <c r="N25" s="39"/>
      <c r="O25" s="39"/>
      <c r="P25" s="39"/>
      <c r="Q25" s="82"/>
      <c r="R25" s="39"/>
      <c r="S25" s="39"/>
      <c r="T25" s="39"/>
      <c r="U25" s="39"/>
      <c r="V25" s="39"/>
    </row>
    <row r="26" spans="1:22" ht="14.1" customHeight="1" x14ac:dyDescent="0.3">
      <c r="B26" s="155">
        <f>'Levantamento Campo'!B83</f>
        <v>0</v>
      </c>
      <c r="C26" s="155"/>
      <c r="D26" s="155"/>
      <c r="E26" s="82"/>
      <c r="F26" s="39"/>
      <c r="G26" s="39"/>
      <c r="H26" s="39"/>
      <c r="I26" s="39"/>
      <c r="J26" s="39"/>
      <c r="K26" s="82"/>
      <c r="L26" s="39"/>
      <c r="M26" s="39"/>
      <c r="N26" s="39"/>
      <c r="O26" s="39"/>
      <c r="P26" s="39"/>
      <c r="Q26" s="82"/>
      <c r="R26" s="39"/>
      <c r="S26" s="39"/>
      <c r="T26" s="39"/>
      <c r="U26" s="39"/>
      <c r="V26" s="39"/>
    </row>
    <row r="27" spans="1:22" ht="14.1" customHeight="1" x14ac:dyDescent="0.3">
      <c r="B27" s="155">
        <f>'Levantamento Campo'!B84</f>
        <v>0</v>
      </c>
      <c r="C27" s="155"/>
      <c r="D27" s="155"/>
      <c r="E27" s="82"/>
      <c r="F27" s="39"/>
      <c r="G27" s="39"/>
      <c r="H27" s="39"/>
      <c r="I27" s="39"/>
      <c r="J27" s="39"/>
      <c r="K27" s="82"/>
      <c r="L27" s="39"/>
      <c r="M27" s="39"/>
      <c r="N27" s="39"/>
      <c r="O27" s="39"/>
      <c r="P27" s="39"/>
      <c r="Q27" s="82"/>
      <c r="R27" s="39"/>
      <c r="S27" s="39"/>
      <c r="T27" s="39"/>
      <c r="U27" s="39"/>
      <c r="V27" s="39"/>
    </row>
    <row r="28" spans="1:22" ht="14.1" customHeight="1" x14ac:dyDescent="0.3">
      <c r="B28" s="155">
        <f>'Levantamento Campo'!B85</f>
        <v>0</v>
      </c>
      <c r="C28" s="155"/>
      <c r="D28" s="155"/>
      <c r="E28" s="82"/>
      <c r="F28" s="39"/>
      <c r="G28" s="39"/>
      <c r="H28" s="39"/>
      <c r="I28" s="39"/>
      <c r="J28" s="39"/>
      <c r="K28" s="82"/>
      <c r="L28" s="39"/>
      <c r="M28" s="39"/>
      <c r="N28" s="39"/>
      <c r="O28" s="39"/>
      <c r="P28" s="39"/>
      <c r="Q28" s="82"/>
      <c r="R28" s="39"/>
      <c r="S28" s="39"/>
      <c r="T28" s="39"/>
      <c r="U28" s="39"/>
      <c r="V28" s="39"/>
    </row>
    <row r="29" spans="1:22" ht="14.1" customHeight="1" x14ac:dyDescent="0.3">
      <c r="B29" s="155">
        <f>'Levantamento Campo'!B108</f>
        <v>0</v>
      </c>
      <c r="C29" s="155"/>
      <c r="D29" s="155"/>
      <c r="E29" s="82"/>
      <c r="F29" s="39"/>
      <c r="G29" s="39"/>
      <c r="H29" s="39"/>
      <c r="I29" s="39"/>
      <c r="J29" s="39"/>
      <c r="K29" s="82"/>
      <c r="L29" s="39"/>
      <c r="M29" s="39"/>
      <c r="N29" s="39"/>
      <c r="O29" s="39"/>
      <c r="P29" s="39"/>
      <c r="Q29" s="82"/>
      <c r="R29" s="39"/>
      <c r="S29" s="39"/>
      <c r="T29" s="39"/>
      <c r="U29" s="39"/>
      <c r="V29" s="39"/>
    </row>
    <row r="30" spans="1:22" ht="14.1" customHeight="1" x14ac:dyDescent="0.3">
      <c r="B30" s="145" t="s">
        <v>29</v>
      </c>
      <c r="C30" s="145"/>
      <c r="D30" s="145"/>
      <c r="E30" s="145"/>
      <c r="F30" s="145"/>
      <c r="G30" s="145"/>
      <c r="H30" s="145"/>
      <c r="I30" s="145"/>
      <c r="J30" s="26">
        <f>SUM(J10:J29)</f>
        <v>0</v>
      </c>
      <c r="K30" s="26"/>
      <c r="L30" s="26"/>
      <c r="M30" s="26"/>
      <c r="N30" s="26"/>
      <c r="O30" s="26"/>
      <c r="P30" s="26">
        <f>SUM(P10:P29)</f>
        <v>0</v>
      </c>
      <c r="Q30" s="63"/>
      <c r="R30" s="63"/>
      <c r="S30" s="63"/>
      <c r="T30" s="63"/>
      <c r="U30" s="63"/>
      <c r="V30" s="63"/>
    </row>
    <row r="32" spans="1:22" x14ac:dyDescent="0.3">
      <c r="A32" s="34" t="s">
        <v>228</v>
      </c>
      <c r="B32" s="130" t="s">
        <v>229</v>
      </c>
      <c r="C32" s="130"/>
      <c r="D32" s="130"/>
    </row>
    <row r="34" spans="2:17" ht="14.1" customHeight="1" x14ac:dyDescent="0.3">
      <c r="B34" s="116" t="s">
        <v>5</v>
      </c>
      <c r="C34" s="116"/>
      <c r="D34" s="116"/>
      <c r="E34" s="116" t="s">
        <v>140</v>
      </c>
      <c r="F34" s="116" t="s">
        <v>89</v>
      </c>
      <c r="G34" s="116"/>
      <c r="H34" s="9" t="s">
        <v>7</v>
      </c>
      <c r="I34" s="9" t="s">
        <v>6</v>
      </c>
      <c r="J34" s="9" t="s">
        <v>8</v>
      </c>
      <c r="K34" s="23" t="s">
        <v>230</v>
      </c>
      <c r="L34" s="9" t="s">
        <v>142</v>
      </c>
      <c r="M34" s="9" t="s">
        <v>143</v>
      </c>
      <c r="N34" s="15"/>
      <c r="O34" s="15"/>
      <c r="P34" s="15"/>
      <c r="Q34" s="15"/>
    </row>
    <row r="35" spans="2:17" ht="14.1" customHeight="1" x14ac:dyDescent="0.3">
      <c r="B35" s="116"/>
      <c r="C35" s="116"/>
      <c r="D35" s="116"/>
      <c r="E35" s="116"/>
      <c r="F35" s="9" t="s">
        <v>231</v>
      </c>
      <c r="G35" s="9" t="s">
        <v>232</v>
      </c>
      <c r="H35" s="17" t="s">
        <v>13</v>
      </c>
      <c r="I35" s="17" t="s">
        <v>13</v>
      </c>
      <c r="J35" s="17" t="s">
        <v>13</v>
      </c>
      <c r="K35" s="17" t="s">
        <v>13</v>
      </c>
      <c r="L35" s="17" t="s">
        <v>15</v>
      </c>
      <c r="M35" s="17" t="s">
        <v>146</v>
      </c>
      <c r="N35" s="21"/>
      <c r="O35" s="21"/>
      <c r="P35" s="21"/>
      <c r="Q35" s="21"/>
    </row>
    <row r="36" spans="2:17" ht="14.1" customHeight="1" x14ac:dyDescent="0.3">
      <c r="B36" s="155">
        <f>'Levantamento Campo'!B8</f>
        <v>0</v>
      </c>
      <c r="C36" s="155"/>
      <c r="D36" s="155"/>
      <c r="E36" s="82"/>
      <c r="F36" s="39"/>
      <c r="G36" s="39"/>
      <c r="H36" s="39"/>
      <c r="I36" s="39"/>
      <c r="J36" s="39"/>
      <c r="K36" s="39"/>
      <c r="L36" s="39"/>
      <c r="M36" s="39"/>
      <c r="N36" s="42"/>
      <c r="O36" s="42"/>
      <c r="P36" s="42"/>
      <c r="Q36" s="42"/>
    </row>
    <row r="37" spans="2:17" ht="14.1" customHeight="1" x14ac:dyDescent="0.3">
      <c r="B37" s="155">
        <f>'Levantamento Campo'!B9</f>
        <v>0</v>
      </c>
      <c r="C37" s="155"/>
      <c r="D37" s="155"/>
      <c r="E37" s="82"/>
      <c r="F37" s="39"/>
      <c r="G37" s="39"/>
      <c r="H37" s="39"/>
      <c r="I37" s="39"/>
      <c r="J37" s="39"/>
      <c r="K37" s="39"/>
      <c r="L37" s="39"/>
      <c r="M37" s="39"/>
      <c r="N37" s="42"/>
      <c r="O37" s="42"/>
      <c r="P37" s="42"/>
      <c r="Q37" s="42"/>
    </row>
    <row r="38" spans="2:17" ht="14.1" customHeight="1" x14ac:dyDescent="0.3">
      <c r="B38" s="155">
        <f>'Levantamento Campo'!B10</f>
        <v>0</v>
      </c>
      <c r="C38" s="155"/>
      <c r="D38" s="155"/>
      <c r="E38" s="82"/>
      <c r="F38" s="39"/>
      <c r="G38" s="39"/>
      <c r="H38" s="39"/>
      <c r="I38" s="39"/>
      <c r="J38" s="39"/>
      <c r="K38" s="39"/>
      <c r="L38" s="39"/>
      <c r="M38" s="39"/>
      <c r="N38" s="42"/>
      <c r="O38" s="42"/>
      <c r="P38" s="42"/>
      <c r="Q38" s="42"/>
    </row>
    <row r="39" spans="2:17" ht="14.1" customHeight="1" x14ac:dyDescent="0.3">
      <c r="B39" s="155">
        <f>'Levantamento Campo'!B11</f>
        <v>0</v>
      </c>
      <c r="C39" s="155"/>
      <c r="D39" s="155"/>
      <c r="E39" s="82"/>
      <c r="F39" s="39"/>
      <c r="G39" s="39"/>
      <c r="H39" s="39"/>
      <c r="I39" s="39"/>
      <c r="J39" s="39"/>
      <c r="K39" s="39"/>
      <c r="L39" s="39"/>
      <c r="M39" s="39"/>
      <c r="N39" s="42"/>
      <c r="O39" s="42"/>
      <c r="P39" s="42"/>
      <c r="Q39" s="42"/>
    </row>
    <row r="40" spans="2:17" ht="14.1" customHeight="1" x14ac:dyDescent="0.3">
      <c r="B40" s="155">
        <f>'Levantamento Campo'!B12</f>
        <v>0</v>
      </c>
      <c r="C40" s="155"/>
      <c r="D40" s="155"/>
      <c r="E40" s="82"/>
      <c r="F40" s="39"/>
      <c r="G40" s="39"/>
      <c r="H40" s="39"/>
      <c r="I40" s="39"/>
      <c r="J40" s="39"/>
      <c r="K40" s="39"/>
      <c r="L40" s="39"/>
      <c r="M40" s="39"/>
      <c r="N40" s="42"/>
      <c r="O40" s="42"/>
      <c r="P40" s="42"/>
      <c r="Q40" s="42"/>
    </row>
    <row r="41" spans="2:17" ht="14.1" customHeight="1" x14ac:dyDescent="0.3">
      <c r="B41" s="155">
        <f>'Levantamento Campo'!B13</f>
        <v>0</v>
      </c>
      <c r="C41" s="155"/>
      <c r="D41" s="155"/>
      <c r="E41" s="82"/>
      <c r="F41" s="39"/>
      <c r="G41" s="39"/>
      <c r="H41" s="39"/>
      <c r="I41" s="39"/>
      <c r="J41" s="39"/>
      <c r="K41" s="39"/>
      <c r="L41" s="39"/>
      <c r="M41" s="39"/>
      <c r="N41" s="42"/>
      <c r="O41" s="42"/>
      <c r="P41" s="42"/>
      <c r="Q41" s="42"/>
    </row>
    <row r="42" spans="2:17" ht="14.1" customHeight="1" x14ac:dyDescent="0.3">
      <c r="B42" s="155">
        <f>'Levantamento Campo'!B14</f>
        <v>0</v>
      </c>
      <c r="C42" s="155"/>
      <c r="D42" s="155"/>
      <c r="E42" s="82"/>
      <c r="F42" s="39"/>
      <c r="G42" s="39"/>
      <c r="H42" s="39"/>
      <c r="I42" s="39"/>
      <c r="J42" s="39"/>
      <c r="K42" s="39"/>
      <c r="L42" s="39"/>
      <c r="M42" s="39"/>
      <c r="N42" s="42"/>
      <c r="O42" s="42"/>
      <c r="P42" s="42"/>
      <c r="Q42" s="42"/>
    </row>
    <row r="43" spans="2:17" ht="14.1" customHeight="1" x14ac:dyDescent="0.3">
      <c r="B43" s="155">
        <f>'Levantamento Campo'!B15</f>
        <v>0</v>
      </c>
      <c r="C43" s="155"/>
      <c r="D43" s="155"/>
      <c r="E43" s="82"/>
      <c r="F43" s="39"/>
      <c r="G43" s="39"/>
      <c r="H43" s="39"/>
      <c r="I43" s="39"/>
      <c r="J43" s="39"/>
      <c r="K43" s="39"/>
      <c r="L43" s="39"/>
      <c r="M43" s="39"/>
      <c r="N43" s="42"/>
      <c r="O43" s="42"/>
      <c r="P43" s="42"/>
      <c r="Q43" s="42"/>
    </row>
    <row r="44" spans="2:17" ht="14.1" customHeight="1" x14ac:dyDescent="0.3">
      <c r="B44" s="155">
        <f>'Levantamento Campo'!B16</f>
        <v>0</v>
      </c>
      <c r="C44" s="155"/>
      <c r="D44" s="155"/>
      <c r="E44" s="82"/>
      <c r="F44" s="39"/>
      <c r="G44" s="39"/>
      <c r="H44" s="39"/>
      <c r="I44" s="39"/>
      <c r="J44" s="39"/>
      <c r="K44" s="39"/>
      <c r="L44" s="39"/>
      <c r="M44" s="39"/>
      <c r="N44" s="42"/>
      <c r="O44" s="42"/>
      <c r="P44" s="42"/>
      <c r="Q44" s="42"/>
    </row>
    <row r="45" spans="2:17" ht="14.1" customHeight="1" x14ac:dyDescent="0.3">
      <c r="B45" s="155">
        <f>'Levantamento Campo'!B17</f>
        <v>0</v>
      </c>
      <c r="C45" s="155"/>
      <c r="D45" s="155"/>
      <c r="E45" s="82"/>
      <c r="F45" s="39"/>
      <c r="G45" s="39"/>
      <c r="H45" s="39"/>
      <c r="I45" s="39"/>
      <c r="J45" s="39"/>
      <c r="K45" s="39"/>
      <c r="L45" s="39"/>
      <c r="M45" s="39"/>
      <c r="N45" s="42"/>
      <c r="O45" s="42"/>
      <c r="P45" s="42"/>
      <c r="Q45" s="42"/>
    </row>
    <row r="46" spans="2:17" ht="14.1" customHeight="1" x14ac:dyDescent="0.3">
      <c r="B46" s="155">
        <f>'Levantamento Campo'!B18</f>
        <v>0</v>
      </c>
      <c r="C46" s="155"/>
      <c r="D46" s="155"/>
      <c r="E46" s="82"/>
      <c r="F46" s="39"/>
      <c r="G46" s="39"/>
      <c r="H46" s="39"/>
      <c r="I46" s="39"/>
      <c r="J46" s="39"/>
      <c r="K46" s="39"/>
      <c r="L46" s="39"/>
      <c r="M46" s="39"/>
      <c r="N46" s="42"/>
      <c r="O46" s="42"/>
      <c r="P46" s="42"/>
      <c r="Q46" s="42"/>
    </row>
    <row r="47" spans="2:17" ht="14.1" customHeight="1" x14ac:dyDescent="0.3">
      <c r="B47" s="155">
        <f>'Levantamento Campo'!B19</f>
        <v>0</v>
      </c>
      <c r="C47" s="155"/>
      <c r="D47" s="155"/>
      <c r="E47" s="82"/>
      <c r="F47" s="39"/>
      <c r="G47" s="39"/>
      <c r="H47" s="39"/>
      <c r="I47" s="39"/>
      <c r="J47" s="39"/>
      <c r="K47" s="39"/>
      <c r="L47" s="39"/>
      <c r="M47" s="39"/>
      <c r="N47" s="42"/>
      <c r="O47" s="42"/>
      <c r="P47" s="42"/>
      <c r="Q47" s="42"/>
    </row>
    <row r="48" spans="2:17" ht="14.1" customHeight="1" x14ac:dyDescent="0.3">
      <c r="B48" s="155">
        <f>'Levantamento Campo'!B20</f>
        <v>0</v>
      </c>
      <c r="C48" s="155"/>
      <c r="D48" s="155"/>
      <c r="E48" s="82"/>
      <c r="F48" s="39"/>
      <c r="G48" s="39"/>
      <c r="H48" s="39"/>
      <c r="I48" s="39"/>
      <c r="J48" s="39"/>
      <c r="K48" s="39"/>
      <c r="L48" s="39"/>
      <c r="M48" s="39"/>
      <c r="N48" s="42"/>
      <c r="O48" s="42"/>
      <c r="P48" s="42"/>
      <c r="Q48" s="42"/>
    </row>
    <row r="49" spans="1:37" ht="14.1" customHeight="1" x14ac:dyDescent="0.3">
      <c r="B49" s="155">
        <f>'Levantamento Campo'!B21</f>
        <v>0</v>
      </c>
      <c r="C49" s="155"/>
      <c r="D49" s="155"/>
      <c r="E49" s="82"/>
      <c r="F49" s="39"/>
      <c r="G49" s="39"/>
      <c r="H49" s="39"/>
      <c r="I49" s="39"/>
      <c r="J49" s="39"/>
      <c r="K49" s="39"/>
      <c r="L49" s="39"/>
      <c r="M49" s="39"/>
      <c r="N49" s="42"/>
      <c r="O49" s="42"/>
      <c r="P49" s="42"/>
      <c r="Q49" s="42"/>
    </row>
    <row r="50" spans="1:37" ht="14.1" customHeight="1" x14ac:dyDescent="0.3">
      <c r="B50" s="155">
        <f>'Levantamento Campo'!B22</f>
        <v>0</v>
      </c>
      <c r="C50" s="155"/>
      <c r="D50" s="155"/>
      <c r="E50" s="63"/>
      <c r="F50" s="63"/>
      <c r="G50" s="63"/>
      <c r="H50" s="63"/>
      <c r="I50" s="63"/>
      <c r="J50" s="63"/>
      <c r="K50" s="63"/>
      <c r="L50" s="63"/>
      <c r="M50" s="63"/>
    </row>
    <row r="51" spans="1:37" ht="14.1" customHeight="1" x14ac:dyDescent="0.3">
      <c r="B51" s="155">
        <f>'Levantamento Campo'!B23</f>
        <v>0</v>
      </c>
      <c r="C51" s="155"/>
      <c r="D51" s="155"/>
      <c r="E51" s="63"/>
      <c r="F51" s="63"/>
      <c r="G51" s="63"/>
      <c r="H51" s="63"/>
      <c r="I51" s="63"/>
      <c r="J51" s="63"/>
      <c r="K51" s="63"/>
      <c r="L51" s="63"/>
      <c r="M51" s="63"/>
    </row>
    <row r="52" spans="1:37" ht="14.1" customHeight="1" x14ac:dyDescent="0.3">
      <c r="B52" s="155">
        <f>'Levantamento Campo'!B83</f>
        <v>0</v>
      </c>
      <c r="C52" s="155"/>
      <c r="D52" s="155"/>
      <c r="E52" s="63"/>
      <c r="F52" s="63"/>
      <c r="G52" s="63"/>
      <c r="H52" s="63"/>
      <c r="I52" s="63"/>
      <c r="J52" s="63"/>
      <c r="K52" s="63"/>
      <c r="L52" s="63"/>
      <c r="M52" s="63"/>
    </row>
    <row r="53" spans="1:37" ht="14.1" customHeight="1" x14ac:dyDescent="0.3">
      <c r="B53" s="155">
        <f>'Levantamento Campo'!B84</f>
        <v>0</v>
      </c>
      <c r="C53" s="155"/>
      <c r="D53" s="155"/>
      <c r="E53" s="63"/>
      <c r="F53" s="63"/>
      <c r="G53" s="63"/>
      <c r="H53" s="63"/>
      <c r="I53" s="63"/>
      <c r="J53" s="63"/>
      <c r="K53" s="63"/>
      <c r="L53" s="63"/>
      <c r="M53" s="63"/>
    </row>
    <row r="54" spans="1:37" ht="14.1" customHeight="1" x14ac:dyDescent="0.3">
      <c r="B54" s="155">
        <f>'Levantamento Campo'!B85</f>
        <v>0</v>
      </c>
      <c r="C54" s="155"/>
      <c r="D54" s="155"/>
      <c r="E54" s="63"/>
      <c r="F54" s="63"/>
      <c r="G54" s="63"/>
      <c r="H54" s="63"/>
      <c r="I54" s="63"/>
      <c r="J54" s="63"/>
      <c r="K54" s="63"/>
      <c r="L54" s="63"/>
      <c r="M54" s="63"/>
    </row>
    <row r="55" spans="1:37" ht="14.1" customHeight="1" x14ac:dyDescent="0.3">
      <c r="B55" s="155">
        <f>'Levantamento Campo'!B108</f>
        <v>0</v>
      </c>
      <c r="C55" s="155"/>
      <c r="D55" s="155"/>
      <c r="E55" s="63"/>
      <c r="F55" s="63"/>
      <c r="G55" s="63"/>
      <c r="H55" s="63"/>
      <c r="I55" s="63"/>
      <c r="J55" s="63"/>
      <c r="K55" s="63"/>
      <c r="L55" s="63"/>
      <c r="M55" s="63"/>
    </row>
    <row r="56" spans="1:37" ht="14.1" customHeight="1" x14ac:dyDescent="0.3">
      <c r="B56" s="145" t="s">
        <v>29</v>
      </c>
      <c r="C56" s="145"/>
      <c r="D56" s="145"/>
      <c r="E56" s="145"/>
      <c r="F56" s="26">
        <f>SUM(F36:F55)</f>
        <v>0</v>
      </c>
      <c r="G56" s="26">
        <f>SUM(G36:G55)</f>
        <v>0</v>
      </c>
      <c r="H56" s="26"/>
      <c r="I56" s="26"/>
      <c r="J56" s="26"/>
      <c r="K56" s="26"/>
      <c r="L56" s="26">
        <f>SUM(L36:L55)</f>
        <v>0</v>
      </c>
      <c r="M56" s="26">
        <f>SUM(M36:M55)</f>
        <v>0</v>
      </c>
      <c r="N56" s="27"/>
      <c r="O56" s="27"/>
      <c r="P56" s="27"/>
      <c r="Q56" s="27"/>
    </row>
    <row r="58" spans="1:37" ht="14.1" customHeight="1" x14ac:dyDescent="0.3">
      <c r="A58" s="34" t="s">
        <v>233</v>
      </c>
      <c r="B58" s="157" t="s">
        <v>234</v>
      </c>
      <c r="C58" s="157"/>
      <c r="D58" s="157"/>
      <c r="E58" s="157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4.1" customHeight="1" x14ac:dyDescent="0.3"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4.1" customHeight="1" x14ac:dyDescent="0.3">
      <c r="B60" s="15"/>
      <c r="C60" s="15"/>
      <c r="D60" s="15"/>
      <c r="E60" s="117" t="s">
        <v>235</v>
      </c>
      <c r="F60" s="117"/>
      <c r="G60" s="117"/>
      <c r="H60" s="117"/>
      <c r="I60" s="117"/>
      <c r="J60" s="117" t="s">
        <v>236</v>
      </c>
      <c r="K60" s="117"/>
      <c r="L60" s="117"/>
      <c r="M60" s="117"/>
      <c r="N60" s="117"/>
      <c r="O60" s="117"/>
      <c r="P60" s="117"/>
      <c r="Q60" s="15"/>
      <c r="R60" s="15"/>
      <c r="S60" s="15"/>
      <c r="T60" s="15"/>
      <c r="U60" s="15"/>
      <c r="V60" s="15"/>
      <c r="W60" s="15"/>
      <c r="X60" s="15"/>
      <c r="Y60" s="15"/>
      <c r="Z60" s="3"/>
      <c r="AA60" s="3"/>
      <c r="AB60" s="3"/>
      <c r="AC60" s="3"/>
      <c r="AD60" s="3"/>
      <c r="AE60" s="3"/>
      <c r="AF60" s="3"/>
      <c r="AG60" s="15"/>
      <c r="AH60" s="15"/>
      <c r="AI60" s="15"/>
      <c r="AJ60" s="15"/>
      <c r="AK60" s="15"/>
    </row>
    <row r="61" spans="1:37" ht="14.1" customHeight="1" x14ac:dyDescent="0.3">
      <c r="B61" s="116" t="s">
        <v>5</v>
      </c>
      <c r="C61" s="116"/>
      <c r="D61" s="116"/>
      <c r="E61" s="116" t="s">
        <v>72</v>
      </c>
      <c r="F61" s="9" t="s">
        <v>7</v>
      </c>
      <c r="G61" s="9" t="s">
        <v>8</v>
      </c>
      <c r="H61" s="9" t="s">
        <v>6</v>
      </c>
      <c r="I61" s="9" t="s">
        <v>142</v>
      </c>
      <c r="J61" s="116" t="s">
        <v>72</v>
      </c>
      <c r="K61" s="9" t="s">
        <v>7</v>
      </c>
      <c r="L61" s="9" t="s">
        <v>8</v>
      </c>
      <c r="M61" s="9" t="s">
        <v>9</v>
      </c>
      <c r="N61" s="9" t="s">
        <v>6</v>
      </c>
      <c r="O61" s="9" t="s">
        <v>10</v>
      </c>
      <c r="P61" s="9" t="s">
        <v>142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38"/>
      <c r="AI61" s="15"/>
      <c r="AJ61" s="15"/>
      <c r="AK61" s="15"/>
    </row>
    <row r="62" spans="1:37" ht="14.1" customHeight="1" x14ac:dyDescent="0.3">
      <c r="B62" s="116"/>
      <c r="C62" s="116"/>
      <c r="D62" s="116"/>
      <c r="E62" s="116"/>
      <c r="F62" s="17" t="s">
        <v>13</v>
      </c>
      <c r="G62" s="17" t="s">
        <v>13</v>
      </c>
      <c r="H62" s="17" t="s">
        <v>13</v>
      </c>
      <c r="I62" s="17" t="s">
        <v>15</v>
      </c>
      <c r="J62" s="116"/>
      <c r="K62" s="17" t="s">
        <v>13</v>
      </c>
      <c r="L62" s="17" t="s">
        <v>13</v>
      </c>
      <c r="M62" s="17" t="s">
        <v>13</v>
      </c>
      <c r="N62" s="17" t="s">
        <v>13</v>
      </c>
      <c r="O62" s="17" t="s">
        <v>14</v>
      </c>
      <c r="P62" s="17" t="s">
        <v>15</v>
      </c>
      <c r="Q62" s="15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spans="1:37" ht="14.1" customHeight="1" x14ac:dyDescent="0.3">
      <c r="B63" s="134">
        <f>'Levantamento Campo'!B8</f>
        <v>0</v>
      </c>
      <c r="C63" s="134"/>
      <c r="D63" s="134"/>
      <c r="E63" s="9"/>
      <c r="F63" s="17"/>
      <c r="G63" s="17"/>
      <c r="H63" s="17"/>
      <c r="I63" s="17"/>
      <c r="J63" s="82"/>
      <c r="K63" s="39"/>
      <c r="L63" s="39"/>
      <c r="M63" s="39"/>
      <c r="N63" s="39"/>
      <c r="O63" s="39"/>
      <c r="P63" s="39"/>
      <c r="Q63" s="15"/>
      <c r="R63" s="15"/>
      <c r="S63" s="15"/>
      <c r="T63" s="22"/>
      <c r="U63" s="22"/>
      <c r="V63" s="22"/>
      <c r="W63" s="21"/>
      <c r="X63" s="21"/>
      <c r="Y63" s="15"/>
      <c r="AA63" s="21"/>
      <c r="AB63" s="21"/>
      <c r="AC63" s="21"/>
      <c r="AD63" s="15"/>
      <c r="AE63" s="21"/>
      <c r="AF63" s="21"/>
      <c r="AG63" s="15"/>
      <c r="AH63" s="15"/>
      <c r="AI63" s="21"/>
      <c r="AJ63" s="21"/>
      <c r="AK63" s="21"/>
    </row>
    <row r="64" spans="1:37" ht="14.1" customHeight="1" x14ac:dyDescent="0.3">
      <c r="B64" s="134">
        <f>'Levantamento Campo'!B9</f>
        <v>0</v>
      </c>
      <c r="C64" s="134"/>
      <c r="D64" s="134"/>
      <c r="E64" s="9"/>
      <c r="F64" s="17"/>
      <c r="G64" s="17"/>
      <c r="H64" s="17"/>
      <c r="I64" s="17"/>
      <c r="J64" s="82"/>
      <c r="K64" s="39"/>
      <c r="L64" s="39"/>
      <c r="M64" s="39"/>
      <c r="N64" s="39"/>
      <c r="O64" s="39"/>
      <c r="P64" s="39"/>
      <c r="Q64" s="64"/>
      <c r="R64" s="42"/>
      <c r="S64" s="42"/>
      <c r="T64" s="42"/>
      <c r="U64" s="42"/>
      <c r="V64" s="42"/>
      <c r="W64" s="42"/>
      <c r="X64" s="42"/>
      <c r="Y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</row>
    <row r="65" spans="2:37" ht="14.1" customHeight="1" x14ac:dyDescent="0.3">
      <c r="B65" s="134">
        <f>'Levantamento Campo'!B10</f>
        <v>0</v>
      </c>
      <c r="C65" s="134"/>
      <c r="D65" s="134"/>
      <c r="E65" s="9"/>
      <c r="F65" s="17"/>
      <c r="G65" s="17"/>
      <c r="H65" s="17"/>
      <c r="I65" s="17"/>
      <c r="J65" s="83"/>
      <c r="K65" s="63"/>
      <c r="L65" s="63"/>
      <c r="M65" s="63"/>
      <c r="N65" s="63"/>
      <c r="O65" s="63"/>
      <c r="P65" s="63"/>
      <c r="Q65" s="64"/>
      <c r="R65" s="42"/>
      <c r="S65" s="42"/>
      <c r="T65" s="42"/>
      <c r="U65" s="42"/>
      <c r="V65" s="42"/>
      <c r="W65" s="42"/>
      <c r="X65" s="42"/>
      <c r="Y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</row>
    <row r="66" spans="2:37" ht="14.1" customHeight="1" x14ac:dyDescent="0.3">
      <c r="B66" s="134">
        <f>'Levantamento Campo'!B11</f>
        <v>0</v>
      </c>
      <c r="C66" s="134"/>
      <c r="D66" s="134"/>
      <c r="E66" s="9"/>
      <c r="F66" s="17"/>
      <c r="G66" s="17"/>
      <c r="H66" s="17"/>
      <c r="I66" s="17"/>
      <c r="J66" s="83"/>
      <c r="K66" s="63"/>
      <c r="L66" s="63"/>
      <c r="M66" s="63"/>
      <c r="N66" s="63"/>
      <c r="O66" s="63"/>
      <c r="P66" s="63"/>
      <c r="Q66" s="8"/>
      <c r="R66" s="8"/>
      <c r="S66" s="8"/>
      <c r="T66" s="8"/>
      <c r="U66" s="8"/>
      <c r="V66" s="8"/>
      <c r="W66" s="8"/>
      <c r="X66" s="56"/>
      <c r="Y66" s="56"/>
      <c r="Z66" s="56"/>
      <c r="AA66" s="56"/>
      <c r="AB66" s="56"/>
      <c r="AC66" s="56"/>
      <c r="AD66" s="56"/>
      <c r="AE66" s="1"/>
      <c r="AF66" s="1"/>
      <c r="AG66" s="40"/>
      <c r="AH66" s="40"/>
      <c r="AI66" s="40"/>
      <c r="AJ66" s="40"/>
      <c r="AK66" s="40"/>
    </row>
    <row r="67" spans="2:37" ht="14.1" customHeight="1" x14ac:dyDescent="0.3">
      <c r="B67" s="134">
        <f>'Levantamento Campo'!B12</f>
        <v>0</v>
      </c>
      <c r="C67" s="134"/>
      <c r="D67" s="134"/>
      <c r="E67" s="9"/>
      <c r="F67" s="17"/>
      <c r="G67" s="17"/>
      <c r="H67" s="17"/>
      <c r="I67" s="17"/>
      <c r="J67" s="83"/>
      <c r="K67" s="63"/>
      <c r="L67" s="63"/>
      <c r="M67" s="63"/>
      <c r="N67" s="63"/>
      <c r="O67" s="63"/>
      <c r="P67" s="63"/>
      <c r="Q67" s="8"/>
      <c r="R67" s="8"/>
      <c r="S67" s="8"/>
      <c r="T67" s="8"/>
      <c r="U67" s="8"/>
      <c r="V67" s="8"/>
      <c r="W67" s="8"/>
      <c r="X67" s="56"/>
      <c r="Y67" s="56"/>
      <c r="Z67" s="56"/>
      <c r="AA67" s="56"/>
      <c r="AB67" s="56"/>
      <c r="AC67" s="56"/>
      <c r="AD67" s="56"/>
      <c r="AE67" s="1"/>
      <c r="AF67" s="1"/>
      <c r="AG67" s="40"/>
      <c r="AH67" s="40"/>
      <c r="AI67" s="40"/>
      <c r="AJ67" s="40"/>
      <c r="AK67" s="40"/>
    </row>
    <row r="68" spans="2:37" ht="14.1" customHeight="1" x14ac:dyDescent="0.3">
      <c r="B68" s="134">
        <f>'Levantamento Campo'!B13</f>
        <v>0</v>
      </c>
      <c r="C68" s="134"/>
      <c r="D68" s="134"/>
      <c r="E68" s="9"/>
      <c r="F68" s="17"/>
      <c r="G68" s="17"/>
      <c r="H68" s="17"/>
      <c r="I68" s="17"/>
      <c r="J68" s="83"/>
      <c r="K68" s="63"/>
      <c r="L68" s="63"/>
      <c r="M68" s="63"/>
      <c r="N68" s="63"/>
      <c r="O68" s="63"/>
      <c r="P68" s="63"/>
      <c r="Q68" s="8"/>
      <c r="R68" s="8"/>
      <c r="S68" s="8"/>
      <c r="T68" s="8"/>
      <c r="U68" s="8"/>
      <c r="V68" s="8"/>
      <c r="W68" s="8"/>
      <c r="X68" s="56"/>
      <c r="Y68" s="56"/>
      <c r="Z68" s="56"/>
      <c r="AA68" s="56"/>
      <c r="AB68" s="56"/>
      <c r="AC68" s="56"/>
      <c r="AD68" s="56"/>
      <c r="AE68" s="1"/>
      <c r="AF68" s="1"/>
      <c r="AG68" s="40"/>
      <c r="AH68" s="40"/>
      <c r="AI68" s="40"/>
      <c r="AJ68" s="40"/>
      <c r="AK68" s="40"/>
    </row>
    <row r="69" spans="2:37" ht="14.1" customHeight="1" x14ac:dyDescent="0.3">
      <c r="B69" s="134">
        <f>'Levantamento Campo'!B14</f>
        <v>0</v>
      </c>
      <c r="C69" s="134"/>
      <c r="D69" s="134"/>
      <c r="E69" s="9"/>
      <c r="F69" s="17"/>
      <c r="G69" s="17"/>
      <c r="H69" s="17"/>
      <c r="I69" s="17"/>
      <c r="J69" s="83"/>
      <c r="K69" s="63"/>
      <c r="L69" s="63"/>
      <c r="M69" s="63"/>
      <c r="N69" s="63"/>
      <c r="O69" s="63"/>
      <c r="P69" s="63"/>
      <c r="Q69" s="8"/>
      <c r="R69" s="8"/>
      <c r="S69" s="8"/>
      <c r="T69" s="8"/>
      <c r="U69" s="8"/>
      <c r="V69" s="8"/>
      <c r="W69" s="8"/>
      <c r="X69" s="56"/>
      <c r="Y69" s="56"/>
      <c r="Z69" s="56"/>
      <c r="AA69" s="56"/>
      <c r="AB69" s="56"/>
      <c r="AC69" s="56"/>
      <c r="AD69" s="56"/>
      <c r="AE69" s="1"/>
      <c r="AF69" s="1"/>
      <c r="AG69" s="40"/>
      <c r="AH69" s="40"/>
      <c r="AI69" s="40"/>
      <c r="AJ69" s="40"/>
      <c r="AK69" s="40"/>
    </row>
    <row r="70" spans="2:37" ht="14.1" customHeight="1" x14ac:dyDescent="0.3">
      <c r="B70" s="134">
        <f>'Levantamento Campo'!B15</f>
        <v>0</v>
      </c>
      <c r="C70" s="134"/>
      <c r="D70" s="134"/>
      <c r="E70" s="9"/>
      <c r="F70" s="17"/>
      <c r="G70" s="17"/>
      <c r="H70" s="17"/>
      <c r="I70" s="17"/>
      <c r="J70" s="83"/>
      <c r="K70" s="63"/>
      <c r="L70" s="63"/>
      <c r="M70" s="63"/>
      <c r="N70" s="63"/>
      <c r="O70" s="63"/>
      <c r="P70" s="63"/>
      <c r="Q70" s="8"/>
      <c r="R70" s="8"/>
      <c r="S70" s="8"/>
      <c r="T70" s="8"/>
      <c r="U70" s="8"/>
      <c r="V70" s="8"/>
      <c r="W70" s="8"/>
      <c r="X70" s="56"/>
      <c r="Y70" s="56"/>
      <c r="Z70" s="56"/>
      <c r="AA70" s="56"/>
      <c r="AB70" s="56"/>
      <c r="AC70" s="56"/>
      <c r="AD70" s="56"/>
      <c r="AE70" s="1"/>
      <c r="AF70" s="1"/>
      <c r="AG70" s="40"/>
      <c r="AH70" s="40"/>
      <c r="AI70" s="40"/>
      <c r="AJ70" s="40"/>
      <c r="AK70" s="40"/>
    </row>
    <row r="71" spans="2:37" ht="14.1" customHeight="1" x14ac:dyDescent="0.3">
      <c r="B71" s="134">
        <f>'Levantamento Campo'!B16</f>
        <v>0</v>
      </c>
      <c r="C71" s="134"/>
      <c r="D71" s="134"/>
      <c r="E71" s="9"/>
      <c r="F71" s="17"/>
      <c r="G71" s="17"/>
      <c r="H71" s="17"/>
      <c r="I71" s="17"/>
      <c r="J71" s="83"/>
      <c r="K71" s="63"/>
      <c r="L71" s="63"/>
      <c r="M71" s="63"/>
      <c r="N71" s="63"/>
      <c r="O71" s="63"/>
      <c r="P71" s="63"/>
      <c r="Q71" s="8"/>
      <c r="R71" s="8"/>
      <c r="S71" s="8"/>
      <c r="T71" s="8"/>
      <c r="U71" s="8"/>
      <c r="V71" s="8"/>
      <c r="W71" s="8"/>
      <c r="X71" s="56"/>
      <c r="Y71" s="56"/>
      <c r="Z71" s="56"/>
      <c r="AA71" s="56"/>
      <c r="AB71" s="56"/>
      <c r="AC71" s="56"/>
      <c r="AD71" s="56"/>
      <c r="AE71" s="1"/>
      <c r="AF71" s="1"/>
      <c r="AG71" s="40"/>
      <c r="AH71" s="40"/>
      <c r="AI71" s="40"/>
      <c r="AJ71" s="40"/>
      <c r="AK71" s="40"/>
    </row>
    <row r="72" spans="2:37" ht="14.1" customHeight="1" x14ac:dyDescent="0.3">
      <c r="B72" s="134">
        <f>'Levantamento Campo'!B17</f>
        <v>0</v>
      </c>
      <c r="C72" s="134"/>
      <c r="D72" s="134"/>
      <c r="E72" s="9"/>
      <c r="F72" s="17"/>
      <c r="G72" s="17"/>
      <c r="H72" s="17"/>
      <c r="I72" s="17"/>
      <c r="J72" s="83"/>
      <c r="K72" s="63"/>
      <c r="L72" s="63"/>
      <c r="M72" s="63"/>
      <c r="N72" s="63"/>
      <c r="O72" s="63"/>
      <c r="P72" s="63"/>
      <c r="Q72" s="8"/>
      <c r="R72" s="8"/>
      <c r="S72" s="8"/>
      <c r="T72" s="8"/>
      <c r="U72" s="8"/>
      <c r="V72" s="8"/>
      <c r="W72" s="8"/>
      <c r="X72" s="56"/>
      <c r="Y72" s="56"/>
      <c r="Z72" s="56"/>
      <c r="AA72" s="56"/>
      <c r="AB72" s="56"/>
      <c r="AC72" s="56"/>
      <c r="AD72" s="56"/>
      <c r="AE72" s="1"/>
      <c r="AF72" s="1"/>
      <c r="AG72" s="40"/>
      <c r="AH72" s="40"/>
      <c r="AI72" s="40"/>
      <c r="AJ72" s="40"/>
      <c r="AK72" s="40"/>
    </row>
    <row r="73" spans="2:37" ht="14.1" customHeight="1" x14ac:dyDescent="0.3">
      <c r="B73" s="134">
        <f>'Levantamento Campo'!B18</f>
        <v>0</v>
      </c>
      <c r="C73" s="134"/>
      <c r="D73" s="134"/>
      <c r="E73" s="9"/>
      <c r="F73" s="17"/>
      <c r="G73" s="17"/>
      <c r="H73" s="17"/>
      <c r="I73" s="17"/>
      <c r="J73" s="83"/>
      <c r="K73" s="63"/>
      <c r="L73" s="63"/>
      <c r="M73" s="63"/>
      <c r="N73" s="63"/>
      <c r="O73" s="63"/>
      <c r="P73" s="63"/>
      <c r="Q73" s="8"/>
      <c r="R73" s="8"/>
      <c r="S73" s="8"/>
      <c r="T73" s="8"/>
      <c r="U73" s="8"/>
      <c r="V73" s="8"/>
      <c r="W73" s="8"/>
      <c r="X73" s="56"/>
      <c r="Y73" s="56"/>
      <c r="Z73" s="56"/>
      <c r="AA73" s="56"/>
      <c r="AB73" s="56"/>
      <c r="AC73" s="56"/>
      <c r="AD73" s="56"/>
      <c r="AE73" s="1"/>
      <c r="AF73" s="1"/>
      <c r="AG73" s="40"/>
      <c r="AH73" s="40"/>
      <c r="AI73" s="40"/>
      <c r="AJ73" s="40"/>
      <c r="AK73" s="40"/>
    </row>
    <row r="74" spans="2:37" ht="14.1" customHeight="1" x14ac:dyDescent="0.3">
      <c r="B74" s="134">
        <f>'Levantamento Campo'!B19</f>
        <v>0</v>
      </c>
      <c r="C74" s="134"/>
      <c r="D74" s="134"/>
      <c r="E74" s="9"/>
      <c r="F74" s="17"/>
      <c r="G74" s="17"/>
      <c r="H74" s="17"/>
      <c r="I74" s="17"/>
      <c r="J74" s="83"/>
      <c r="K74" s="63"/>
      <c r="L74" s="63"/>
      <c r="M74" s="63"/>
      <c r="N74" s="63"/>
      <c r="O74" s="63"/>
      <c r="P74" s="63"/>
      <c r="Q74" s="8"/>
      <c r="R74" s="8"/>
      <c r="S74" s="8"/>
      <c r="T74" s="8"/>
      <c r="U74" s="8"/>
      <c r="V74" s="8"/>
      <c r="W74" s="8"/>
      <c r="X74" s="56"/>
      <c r="Y74" s="56"/>
      <c r="Z74" s="56"/>
      <c r="AA74" s="56"/>
      <c r="AB74" s="56"/>
      <c r="AC74" s="56"/>
      <c r="AD74" s="56"/>
      <c r="AE74" s="1"/>
      <c r="AF74" s="1"/>
      <c r="AG74" s="40"/>
      <c r="AH74" s="40"/>
      <c r="AI74" s="40"/>
      <c r="AJ74" s="40"/>
      <c r="AK74" s="40"/>
    </row>
    <row r="75" spans="2:37" ht="14.1" customHeight="1" x14ac:dyDescent="0.3">
      <c r="B75" s="134">
        <f>'Levantamento Campo'!B20</f>
        <v>0</v>
      </c>
      <c r="C75" s="134"/>
      <c r="D75" s="134"/>
      <c r="E75" s="9"/>
      <c r="F75" s="17"/>
      <c r="G75" s="17"/>
      <c r="H75" s="17"/>
      <c r="I75" s="17"/>
      <c r="J75" s="83"/>
      <c r="K75" s="63"/>
      <c r="L75" s="63"/>
      <c r="M75" s="63"/>
      <c r="N75" s="63"/>
      <c r="O75" s="63"/>
      <c r="P75" s="63"/>
      <c r="Q75" s="8"/>
      <c r="R75" s="8"/>
      <c r="S75" s="8"/>
      <c r="T75" s="8"/>
      <c r="U75" s="8"/>
      <c r="V75" s="8"/>
      <c r="W75" s="8"/>
      <c r="X75" s="56"/>
      <c r="Y75" s="56"/>
      <c r="Z75" s="56"/>
      <c r="AA75" s="56"/>
      <c r="AB75" s="56"/>
      <c r="AC75" s="56"/>
      <c r="AD75" s="56"/>
      <c r="AE75" s="1"/>
      <c r="AF75" s="1"/>
      <c r="AG75" s="40"/>
      <c r="AH75" s="40"/>
      <c r="AI75" s="40"/>
      <c r="AJ75" s="40"/>
      <c r="AK75" s="40"/>
    </row>
    <row r="76" spans="2:37" ht="14.1" customHeight="1" x14ac:dyDescent="0.3">
      <c r="B76" s="134">
        <f>'Levantamento Campo'!B21</f>
        <v>0</v>
      </c>
      <c r="C76" s="134"/>
      <c r="D76" s="134"/>
      <c r="E76" s="9"/>
      <c r="F76" s="17"/>
      <c r="G76" s="17"/>
      <c r="H76" s="17"/>
      <c r="I76" s="17"/>
      <c r="J76" s="83"/>
      <c r="K76" s="63"/>
      <c r="L76" s="63"/>
      <c r="M76" s="63"/>
      <c r="N76" s="63"/>
      <c r="O76" s="63"/>
      <c r="P76" s="63"/>
      <c r="Q76" s="8"/>
      <c r="R76" s="8"/>
      <c r="S76" s="8"/>
      <c r="T76" s="8"/>
      <c r="U76" s="8"/>
      <c r="V76" s="8"/>
      <c r="W76" s="8"/>
      <c r="X76" s="56"/>
      <c r="Y76" s="56"/>
      <c r="Z76" s="56"/>
      <c r="AA76" s="56"/>
      <c r="AB76" s="56"/>
      <c r="AC76" s="56"/>
      <c r="AD76" s="56"/>
      <c r="AE76" s="1"/>
      <c r="AF76" s="1"/>
      <c r="AG76" s="40"/>
      <c r="AH76" s="40"/>
      <c r="AI76" s="40"/>
      <c r="AJ76" s="40"/>
      <c r="AK76" s="40"/>
    </row>
    <row r="77" spans="2:37" ht="14.1" customHeight="1" x14ac:dyDescent="0.3">
      <c r="B77" s="134">
        <f>'Levantamento Campo'!B22</f>
        <v>0</v>
      </c>
      <c r="C77" s="134"/>
      <c r="D77" s="134"/>
      <c r="E77" s="9"/>
      <c r="F77" s="17"/>
      <c r="G77" s="17"/>
      <c r="H77" s="17"/>
      <c r="I77" s="17"/>
      <c r="J77" s="83"/>
      <c r="K77" s="63"/>
      <c r="L77" s="63"/>
      <c r="M77" s="63"/>
      <c r="N77" s="63"/>
      <c r="O77" s="63"/>
      <c r="P77" s="63"/>
      <c r="Q77" s="8"/>
      <c r="R77" s="8"/>
      <c r="S77" s="8"/>
      <c r="T77" s="8"/>
      <c r="U77" s="8"/>
      <c r="V77" s="8"/>
      <c r="W77" s="8"/>
      <c r="X77" s="56"/>
      <c r="Y77" s="56"/>
      <c r="Z77" s="56"/>
      <c r="AA77" s="56"/>
      <c r="AB77" s="56"/>
      <c r="AC77" s="56"/>
      <c r="AD77" s="56"/>
      <c r="AE77" s="1"/>
      <c r="AF77" s="1"/>
      <c r="AG77" s="40"/>
      <c r="AH77" s="40"/>
      <c r="AI77" s="40"/>
      <c r="AJ77" s="40"/>
      <c r="AK77" s="40"/>
    </row>
    <row r="78" spans="2:37" ht="14.1" customHeight="1" x14ac:dyDescent="0.3">
      <c r="B78" s="134">
        <f>'Levantamento Campo'!B23</f>
        <v>0</v>
      </c>
      <c r="C78" s="134"/>
      <c r="D78" s="134"/>
      <c r="E78" s="9"/>
      <c r="F78" s="17"/>
      <c r="G78" s="17"/>
      <c r="H78" s="17"/>
      <c r="I78" s="17"/>
      <c r="J78" s="83"/>
      <c r="K78" s="63"/>
      <c r="L78" s="63"/>
      <c r="M78" s="63"/>
      <c r="N78" s="63"/>
      <c r="O78" s="63"/>
      <c r="P78" s="63"/>
      <c r="Q78" s="8"/>
      <c r="R78" s="8"/>
      <c r="S78" s="8"/>
      <c r="T78" s="8"/>
      <c r="U78" s="8"/>
      <c r="V78" s="8"/>
      <c r="W78" s="8"/>
      <c r="X78" s="56"/>
      <c r="Y78" s="56"/>
      <c r="Z78" s="56"/>
      <c r="AA78" s="56"/>
      <c r="AB78" s="56"/>
      <c r="AC78" s="56"/>
      <c r="AD78" s="56"/>
      <c r="AE78" s="1"/>
      <c r="AF78" s="1"/>
      <c r="AG78" s="40"/>
      <c r="AH78" s="40"/>
      <c r="AI78" s="40"/>
      <c r="AJ78" s="40"/>
      <c r="AK78" s="40"/>
    </row>
    <row r="79" spans="2:37" ht="14.1" customHeight="1" x14ac:dyDescent="0.3">
      <c r="B79" s="134">
        <f>'Levantamento Campo'!B83</f>
        <v>0</v>
      </c>
      <c r="C79" s="134"/>
      <c r="D79" s="134"/>
      <c r="E79" s="9"/>
      <c r="F79" s="17"/>
      <c r="G79" s="17"/>
      <c r="H79" s="17"/>
      <c r="I79" s="17"/>
      <c r="J79" s="83"/>
      <c r="K79" s="63"/>
      <c r="L79" s="63"/>
      <c r="M79" s="63"/>
      <c r="N79" s="63"/>
      <c r="O79" s="63"/>
      <c r="P79" s="63"/>
      <c r="Q79" s="8"/>
      <c r="R79" s="8"/>
      <c r="S79" s="8"/>
      <c r="T79" s="8"/>
      <c r="U79" s="8"/>
      <c r="V79" s="8"/>
      <c r="W79" s="8"/>
      <c r="X79" s="56"/>
      <c r="Y79" s="56"/>
      <c r="Z79" s="56"/>
      <c r="AA79" s="56"/>
      <c r="AB79" s="56"/>
      <c r="AC79" s="56"/>
      <c r="AD79" s="56"/>
      <c r="AE79" s="1"/>
      <c r="AF79" s="1"/>
      <c r="AG79" s="40"/>
      <c r="AH79" s="40"/>
      <c r="AI79" s="40"/>
      <c r="AJ79" s="40"/>
      <c r="AK79" s="40"/>
    </row>
    <row r="80" spans="2:37" ht="14.1" customHeight="1" x14ac:dyDescent="0.3">
      <c r="B80" s="134">
        <f>'Levantamento Campo'!B84</f>
        <v>0</v>
      </c>
      <c r="C80" s="134"/>
      <c r="D80" s="134"/>
      <c r="E80" s="9"/>
      <c r="F80" s="17"/>
      <c r="G80" s="17"/>
      <c r="H80" s="17"/>
      <c r="I80" s="17"/>
      <c r="J80" s="83"/>
      <c r="K80" s="63"/>
      <c r="L80" s="63"/>
      <c r="M80" s="63"/>
      <c r="N80" s="63"/>
      <c r="O80" s="63"/>
      <c r="P80" s="63"/>
      <c r="Q80" s="8"/>
      <c r="R80" s="8"/>
      <c r="S80" s="8"/>
      <c r="T80" s="8"/>
      <c r="U80" s="8"/>
      <c r="V80" s="8"/>
      <c r="W80" s="8"/>
      <c r="X80" s="56"/>
      <c r="Y80" s="56"/>
      <c r="Z80" s="56"/>
      <c r="AA80" s="56"/>
      <c r="AB80" s="56"/>
      <c r="AC80" s="56"/>
      <c r="AD80" s="56"/>
      <c r="AE80" s="1"/>
      <c r="AF80" s="1"/>
      <c r="AG80" s="40"/>
      <c r="AH80" s="40"/>
      <c r="AI80" s="40"/>
      <c r="AJ80" s="40"/>
      <c r="AK80" s="40"/>
    </row>
    <row r="81" spans="1:37" ht="14.1" customHeight="1" x14ac:dyDescent="0.3">
      <c r="B81" s="134">
        <f>'Levantamento Campo'!B85</f>
        <v>0</v>
      </c>
      <c r="C81" s="134"/>
      <c r="D81" s="134"/>
      <c r="E81" s="82"/>
      <c r="F81" s="39"/>
      <c r="G81" s="39"/>
      <c r="H81" s="39"/>
      <c r="I81" s="39"/>
      <c r="J81" s="68"/>
      <c r="K81" s="63"/>
      <c r="L81" s="63"/>
      <c r="M81" s="63"/>
      <c r="N81" s="63"/>
      <c r="O81" s="63"/>
      <c r="P81" s="63"/>
      <c r="Q81" s="8"/>
      <c r="R81" s="8"/>
      <c r="S81" s="8"/>
      <c r="T81" s="8"/>
      <c r="U81" s="8"/>
      <c r="V81" s="8"/>
      <c r="W81" s="8"/>
      <c r="X81" s="56"/>
      <c r="Y81" s="56"/>
      <c r="Z81" s="56"/>
      <c r="AA81" s="56"/>
      <c r="AB81" s="56"/>
      <c r="AC81" s="56"/>
      <c r="AD81" s="56"/>
      <c r="AE81" s="1"/>
      <c r="AF81" s="1"/>
      <c r="AG81" s="40"/>
      <c r="AH81" s="40"/>
      <c r="AI81" s="40"/>
      <c r="AJ81" s="40"/>
      <c r="AK81" s="40"/>
    </row>
    <row r="82" spans="1:37" ht="14.1" customHeight="1" x14ac:dyDescent="0.3">
      <c r="B82" s="145" t="s">
        <v>29</v>
      </c>
      <c r="C82" s="145"/>
      <c r="D82" s="145"/>
      <c r="E82" s="145"/>
      <c r="F82" s="145"/>
      <c r="G82" s="145"/>
      <c r="H82" s="39"/>
      <c r="I82" s="39"/>
      <c r="J82" s="84"/>
      <c r="K82" s="63"/>
      <c r="L82" s="63"/>
      <c r="M82" s="63"/>
      <c r="N82" s="63"/>
      <c r="O82" s="63"/>
      <c r="P82" s="63"/>
      <c r="Q82" s="8"/>
      <c r="R82" s="8"/>
      <c r="S82" s="8"/>
      <c r="T82" s="8"/>
      <c r="U82" s="8"/>
      <c r="V82" s="8"/>
      <c r="W82" s="8"/>
      <c r="X82" s="56"/>
      <c r="Y82" s="56"/>
      <c r="Z82" s="56"/>
      <c r="AA82" s="56"/>
      <c r="AB82" s="56"/>
      <c r="AC82" s="56"/>
      <c r="AD82" s="56"/>
      <c r="AE82" s="1"/>
      <c r="AF82" s="1"/>
      <c r="AG82" s="40"/>
      <c r="AH82" s="40"/>
      <c r="AI82" s="40"/>
      <c r="AJ82" s="40"/>
      <c r="AK82" s="40"/>
    </row>
    <row r="84" spans="1:37" x14ac:dyDescent="0.3">
      <c r="A84" s="34" t="s">
        <v>237</v>
      </c>
      <c r="B84" s="157" t="s">
        <v>238</v>
      </c>
      <c r="C84" s="157"/>
      <c r="D84" s="157"/>
      <c r="E84" s="157"/>
    </row>
    <row r="85" spans="1:37" x14ac:dyDescent="0.3">
      <c r="B85" s="6"/>
    </row>
    <row r="86" spans="1:37" ht="14.1" customHeight="1" x14ac:dyDescent="0.3">
      <c r="B86" s="15"/>
      <c r="C86" s="15"/>
      <c r="D86" s="15"/>
      <c r="E86" s="15"/>
      <c r="F86" s="116" t="s">
        <v>2</v>
      </c>
      <c r="G86" s="116"/>
      <c r="H86" s="116"/>
      <c r="I86" s="116"/>
      <c r="J86" s="116"/>
      <c r="K86" s="116" t="s">
        <v>92</v>
      </c>
      <c r="L86" s="116"/>
      <c r="M86" s="116"/>
      <c r="N86" s="117" t="s">
        <v>185</v>
      </c>
      <c r="O86" s="117"/>
      <c r="P86" s="117"/>
      <c r="Q86" s="117"/>
      <c r="R86" s="117"/>
      <c r="S86" s="117" t="s">
        <v>186</v>
      </c>
      <c r="T86" s="117"/>
      <c r="U86" s="116" t="s">
        <v>187</v>
      </c>
      <c r="V86" s="116"/>
      <c r="W86" s="116" t="s">
        <v>145</v>
      </c>
      <c r="X86" s="116"/>
      <c r="Y86" s="116"/>
    </row>
    <row r="87" spans="1:37" ht="14.1" customHeight="1" x14ac:dyDescent="0.3">
      <c r="B87" s="116" t="s">
        <v>5</v>
      </c>
      <c r="C87" s="116"/>
      <c r="D87" s="116"/>
      <c r="E87" s="116" t="s">
        <v>72</v>
      </c>
      <c r="F87" s="66" t="s">
        <v>239</v>
      </c>
      <c r="G87" s="66" t="s">
        <v>240</v>
      </c>
      <c r="H87" s="9" t="s">
        <v>7</v>
      </c>
      <c r="I87" s="9" t="s">
        <v>8</v>
      </c>
      <c r="J87" s="9" t="s">
        <v>115</v>
      </c>
      <c r="K87" s="9" t="s">
        <v>9</v>
      </c>
      <c r="L87" s="9" t="s">
        <v>10</v>
      </c>
      <c r="M87" s="9" t="s">
        <v>142</v>
      </c>
      <c r="N87" s="9" t="s">
        <v>7</v>
      </c>
      <c r="O87" s="9" t="s">
        <v>8</v>
      </c>
      <c r="P87" s="9" t="s">
        <v>6</v>
      </c>
      <c r="Q87" s="9" t="s">
        <v>10</v>
      </c>
      <c r="R87" s="23" t="s">
        <v>142</v>
      </c>
      <c r="S87" s="9" t="s">
        <v>7</v>
      </c>
      <c r="T87" s="9" t="s">
        <v>8</v>
      </c>
      <c r="U87" s="74" t="s">
        <v>143</v>
      </c>
      <c r="V87" s="75" t="s">
        <v>144</v>
      </c>
      <c r="W87" s="9" t="s">
        <v>8</v>
      </c>
      <c r="X87" s="9" t="s">
        <v>6</v>
      </c>
      <c r="Y87" s="9" t="s">
        <v>10</v>
      </c>
    </row>
    <row r="88" spans="1:37" x14ac:dyDescent="0.3">
      <c r="B88" s="116"/>
      <c r="C88" s="116"/>
      <c r="D88" s="116"/>
      <c r="E88" s="116"/>
      <c r="F88" s="69" t="s">
        <v>13</v>
      </c>
      <c r="G88" s="69" t="s">
        <v>13</v>
      </c>
      <c r="H88" s="17" t="s">
        <v>13</v>
      </c>
      <c r="I88" s="17" t="s">
        <v>13</v>
      </c>
      <c r="J88" s="17" t="s">
        <v>117</v>
      </c>
      <c r="K88" s="17" t="s">
        <v>13</v>
      </c>
      <c r="L88" s="17" t="s">
        <v>14</v>
      </c>
      <c r="M88" s="77" t="s">
        <v>15</v>
      </c>
      <c r="N88" s="17" t="s">
        <v>13</v>
      </c>
      <c r="O88" s="17" t="s">
        <v>13</v>
      </c>
      <c r="P88" s="17" t="s">
        <v>13</v>
      </c>
      <c r="Q88" s="17" t="s">
        <v>14</v>
      </c>
      <c r="R88" s="77" t="s">
        <v>15</v>
      </c>
      <c r="S88" s="17" t="s">
        <v>13</v>
      </c>
      <c r="T88" s="17" t="s">
        <v>13</v>
      </c>
      <c r="U88" s="17" t="s">
        <v>146</v>
      </c>
      <c r="V88" s="69" t="s">
        <v>146</v>
      </c>
      <c r="W88" s="17" t="s">
        <v>190</v>
      </c>
      <c r="X88" s="17" t="s">
        <v>190</v>
      </c>
      <c r="Y88" s="17" t="s">
        <v>14</v>
      </c>
    </row>
    <row r="89" spans="1:37" x14ac:dyDescent="0.3">
      <c r="B89" s="155">
        <f>'Levantamento Campo'!B8</f>
        <v>0</v>
      </c>
      <c r="C89" s="155"/>
      <c r="D89" s="155"/>
      <c r="E89" s="9"/>
      <c r="F89" s="9"/>
      <c r="G89" s="9"/>
      <c r="H89" s="72"/>
      <c r="I89" s="72"/>
      <c r="J89" s="72"/>
      <c r="K89" s="17"/>
      <c r="L89" s="17"/>
      <c r="M89" s="9"/>
      <c r="N89" s="63"/>
      <c r="O89" s="17"/>
      <c r="P89" s="17"/>
      <c r="Q89" s="17"/>
      <c r="R89" s="9"/>
      <c r="S89" s="17"/>
      <c r="T89" s="17"/>
      <c r="U89" s="9"/>
      <c r="V89" s="4"/>
      <c r="W89" s="17"/>
      <c r="X89" s="17"/>
      <c r="Y89" s="17"/>
    </row>
    <row r="90" spans="1:37" x14ac:dyDescent="0.3">
      <c r="B90" s="155">
        <f>'Levantamento Campo'!B9</f>
        <v>0</v>
      </c>
      <c r="C90" s="155"/>
      <c r="D90" s="155"/>
      <c r="E90" s="68"/>
      <c r="F90" s="39"/>
      <c r="G90" s="39"/>
      <c r="H90" s="39"/>
      <c r="I90" s="39"/>
      <c r="J90" s="39"/>
      <c r="K90" s="39"/>
      <c r="L90" s="39"/>
      <c r="M90" s="39"/>
      <c r="N90" s="63"/>
      <c r="O90" s="39"/>
      <c r="P90" s="39"/>
      <c r="Q90" s="39"/>
      <c r="R90" s="39"/>
      <c r="S90" s="39"/>
      <c r="T90" s="39"/>
      <c r="U90" s="39"/>
      <c r="V90" s="71"/>
      <c r="W90" s="39"/>
      <c r="X90" s="39"/>
      <c r="Y90" s="39"/>
    </row>
    <row r="91" spans="1:37" x14ac:dyDescent="0.3">
      <c r="B91" s="155">
        <f>'Levantamento Campo'!B10</f>
        <v>0</v>
      </c>
      <c r="C91" s="155"/>
      <c r="D91" s="155"/>
      <c r="E91" s="68"/>
      <c r="F91" s="39"/>
      <c r="G91" s="39"/>
      <c r="H91" s="39"/>
      <c r="I91" s="39"/>
      <c r="J91" s="39"/>
      <c r="K91" s="39"/>
      <c r="L91" s="39"/>
      <c r="M91" s="39"/>
      <c r="N91" s="63"/>
      <c r="O91" s="39"/>
      <c r="P91" s="39"/>
      <c r="Q91" s="39"/>
      <c r="R91" s="39"/>
      <c r="S91" s="39"/>
      <c r="T91" s="39"/>
      <c r="U91" s="39"/>
      <c r="V91" s="71"/>
      <c r="W91" s="39"/>
      <c r="X91" s="39"/>
      <c r="Y91" s="39"/>
    </row>
    <row r="92" spans="1:37" x14ac:dyDescent="0.3">
      <c r="B92" s="155">
        <f>'Levantamento Campo'!B11</f>
        <v>0</v>
      </c>
      <c r="C92" s="155"/>
      <c r="D92" s="155"/>
      <c r="E92" s="85"/>
      <c r="F92" s="85"/>
      <c r="G92" s="85"/>
      <c r="H92" s="85"/>
      <c r="I92" s="85"/>
      <c r="J92" s="85"/>
      <c r="K92" s="85"/>
      <c r="L92" s="54"/>
      <c r="M92" s="54"/>
      <c r="N92" s="54"/>
      <c r="O92" s="54"/>
      <c r="P92" s="54"/>
      <c r="Q92" s="54"/>
      <c r="R92" s="54"/>
      <c r="S92" s="86"/>
      <c r="T92" s="86"/>
      <c r="U92" s="35"/>
      <c r="V92" s="35"/>
      <c r="W92" s="35"/>
      <c r="X92" s="35"/>
      <c r="Y92" s="35"/>
    </row>
    <row r="93" spans="1:37" x14ac:dyDescent="0.3">
      <c r="B93" s="155">
        <f>'Levantamento Campo'!B12</f>
        <v>0</v>
      </c>
      <c r="C93" s="155"/>
      <c r="D93" s="155"/>
      <c r="E93" s="85"/>
      <c r="F93" s="85"/>
      <c r="G93" s="85"/>
      <c r="H93" s="85"/>
      <c r="I93" s="85"/>
      <c r="J93" s="85"/>
      <c r="K93" s="85"/>
      <c r="L93" s="54"/>
      <c r="M93" s="54"/>
      <c r="N93" s="54"/>
      <c r="O93" s="54"/>
      <c r="P93" s="54"/>
      <c r="Q93" s="54"/>
      <c r="R93" s="54"/>
      <c r="S93" s="86"/>
      <c r="T93" s="86"/>
      <c r="U93" s="35"/>
      <c r="V93" s="35"/>
      <c r="W93" s="35"/>
      <c r="X93" s="35"/>
      <c r="Y93" s="35"/>
    </row>
    <row r="94" spans="1:37" x14ac:dyDescent="0.3">
      <c r="B94" s="155">
        <f>'Levantamento Campo'!B13</f>
        <v>0</v>
      </c>
      <c r="C94" s="155"/>
      <c r="D94" s="155"/>
      <c r="E94" s="85"/>
      <c r="F94" s="85"/>
      <c r="G94" s="85"/>
      <c r="H94" s="85"/>
      <c r="I94" s="85"/>
      <c r="J94" s="85"/>
      <c r="K94" s="85"/>
      <c r="L94" s="54"/>
      <c r="M94" s="54"/>
      <c r="N94" s="54"/>
      <c r="O94" s="54"/>
      <c r="P94" s="54"/>
      <c r="Q94" s="54"/>
      <c r="R94" s="54"/>
      <c r="S94" s="86"/>
      <c r="T94" s="86"/>
      <c r="U94" s="35"/>
      <c r="V94" s="35"/>
      <c r="W94" s="35"/>
      <c r="X94" s="35"/>
      <c r="Y94" s="35"/>
    </row>
    <row r="95" spans="1:37" x14ac:dyDescent="0.3">
      <c r="B95" s="155">
        <f>'Levantamento Campo'!B14</f>
        <v>0</v>
      </c>
      <c r="C95" s="155"/>
      <c r="D95" s="155"/>
      <c r="E95" s="85"/>
      <c r="F95" s="85"/>
      <c r="G95" s="85"/>
      <c r="H95" s="85"/>
      <c r="I95" s="85"/>
      <c r="J95" s="85"/>
      <c r="K95" s="85"/>
      <c r="L95" s="54"/>
      <c r="M95" s="54"/>
      <c r="N95" s="54"/>
      <c r="O95" s="54"/>
      <c r="P95" s="54"/>
      <c r="Q95" s="54"/>
      <c r="R95" s="54"/>
      <c r="S95" s="86"/>
      <c r="T95" s="86"/>
      <c r="U95" s="35"/>
      <c r="V95" s="35"/>
      <c r="W95" s="35"/>
      <c r="X95" s="35"/>
      <c r="Y95" s="35"/>
    </row>
    <row r="96" spans="1:37" x14ac:dyDescent="0.3">
      <c r="B96" s="155">
        <f>'Levantamento Campo'!B15</f>
        <v>0</v>
      </c>
      <c r="C96" s="155"/>
      <c r="D96" s="155"/>
      <c r="E96" s="85"/>
      <c r="F96" s="85"/>
      <c r="G96" s="85"/>
      <c r="H96" s="85"/>
      <c r="I96" s="85"/>
      <c r="J96" s="85"/>
      <c r="K96" s="85"/>
      <c r="L96" s="54"/>
      <c r="M96" s="54"/>
      <c r="N96" s="54"/>
      <c r="O96" s="54"/>
      <c r="P96" s="54"/>
      <c r="Q96" s="54"/>
      <c r="R96" s="54"/>
      <c r="S96" s="86"/>
      <c r="T96" s="86"/>
      <c r="U96" s="35"/>
      <c r="V96" s="35"/>
      <c r="W96" s="35"/>
      <c r="X96" s="35"/>
      <c r="Y96" s="35"/>
    </row>
    <row r="97" spans="1:30" x14ac:dyDescent="0.3">
      <c r="B97" s="155">
        <f>'Levantamento Campo'!B16</f>
        <v>0</v>
      </c>
      <c r="C97" s="155"/>
      <c r="D97" s="155"/>
      <c r="E97" s="85"/>
      <c r="F97" s="85"/>
      <c r="G97" s="85"/>
      <c r="H97" s="85"/>
      <c r="I97" s="85"/>
      <c r="J97" s="85"/>
      <c r="K97" s="85"/>
      <c r="L97" s="54"/>
      <c r="M97" s="54"/>
      <c r="N97" s="54"/>
      <c r="O97" s="54"/>
      <c r="P97" s="54"/>
      <c r="Q97" s="54"/>
      <c r="R97" s="54"/>
      <c r="S97" s="86"/>
      <c r="T97" s="86"/>
      <c r="U97" s="35"/>
      <c r="V97" s="35"/>
      <c r="W97" s="35"/>
      <c r="X97" s="35"/>
      <c r="Y97" s="35"/>
    </row>
    <row r="98" spans="1:30" x14ac:dyDescent="0.3">
      <c r="B98" s="155">
        <f>'Levantamento Campo'!B17</f>
        <v>0</v>
      </c>
      <c r="C98" s="155"/>
      <c r="D98" s="155"/>
      <c r="E98" s="85"/>
      <c r="F98" s="85"/>
      <c r="G98" s="85"/>
      <c r="H98" s="85"/>
      <c r="I98" s="85"/>
      <c r="J98" s="85"/>
      <c r="K98" s="85"/>
      <c r="L98" s="54"/>
      <c r="M98" s="54"/>
      <c r="N98" s="54"/>
      <c r="O98" s="54"/>
      <c r="P98" s="54"/>
      <c r="Q98" s="54"/>
      <c r="R98" s="54"/>
      <c r="S98" s="86"/>
      <c r="T98" s="86"/>
      <c r="U98" s="35"/>
      <c r="V98" s="35"/>
      <c r="W98" s="35"/>
      <c r="X98" s="35"/>
      <c r="Y98" s="35"/>
    </row>
    <row r="99" spans="1:30" x14ac:dyDescent="0.3">
      <c r="B99" s="155">
        <f>'Levantamento Campo'!B18</f>
        <v>0</v>
      </c>
      <c r="C99" s="155"/>
      <c r="D99" s="155"/>
      <c r="E99" s="85"/>
      <c r="F99" s="85"/>
      <c r="G99" s="85"/>
      <c r="H99" s="85"/>
      <c r="I99" s="85"/>
      <c r="J99" s="85"/>
      <c r="K99" s="85"/>
      <c r="L99" s="54"/>
      <c r="M99" s="54"/>
      <c r="N99" s="54"/>
      <c r="O99" s="54"/>
      <c r="P99" s="54"/>
      <c r="Q99" s="54"/>
      <c r="R99" s="54"/>
      <c r="S99" s="86"/>
      <c r="T99" s="86"/>
      <c r="U99" s="35"/>
      <c r="V99" s="35"/>
      <c r="W99" s="35"/>
      <c r="X99" s="35"/>
      <c r="Y99" s="35"/>
    </row>
    <row r="100" spans="1:30" x14ac:dyDescent="0.3">
      <c r="B100" s="155">
        <f>'Levantamento Campo'!B19</f>
        <v>0</v>
      </c>
      <c r="C100" s="155"/>
      <c r="D100" s="155"/>
      <c r="E100" s="85"/>
      <c r="F100" s="85"/>
      <c r="G100" s="85"/>
      <c r="H100" s="85"/>
      <c r="I100" s="85"/>
      <c r="J100" s="85"/>
      <c r="K100" s="85"/>
      <c r="L100" s="54"/>
      <c r="M100" s="54"/>
      <c r="N100" s="54"/>
      <c r="O100" s="54"/>
      <c r="P100" s="54"/>
      <c r="Q100" s="54"/>
      <c r="R100" s="54"/>
      <c r="S100" s="86"/>
      <c r="T100" s="86"/>
      <c r="U100" s="35"/>
      <c r="V100" s="35"/>
      <c r="W100" s="35"/>
      <c r="X100" s="35"/>
      <c r="Y100" s="35"/>
    </row>
    <row r="101" spans="1:30" x14ac:dyDescent="0.3">
      <c r="B101" s="155">
        <f>'Levantamento Campo'!B20</f>
        <v>0</v>
      </c>
      <c r="C101" s="155"/>
      <c r="D101" s="155"/>
      <c r="E101" s="85"/>
      <c r="F101" s="85"/>
      <c r="G101" s="85"/>
      <c r="H101" s="85"/>
      <c r="I101" s="85"/>
      <c r="J101" s="85"/>
      <c r="K101" s="85"/>
      <c r="L101" s="54"/>
      <c r="M101" s="54"/>
      <c r="N101" s="54"/>
      <c r="O101" s="54"/>
      <c r="P101" s="54"/>
      <c r="Q101" s="54"/>
      <c r="R101" s="54"/>
      <c r="S101" s="86"/>
      <c r="T101" s="86"/>
      <c r="U101" s="35"/>
      <c r="V101" s="35"/>
      <c r="W101" s="35"/>
      <c r="X101" s="35"/>
      <c r="Y101" s="35"/>
    </row>
    <row r="102" spans="1:30" x14ac:dyDescent="0.3">
      <c r="B102" s="155">
        <f>'Levantamento Campo'!B21</f>
        <v>0</v>
      </c>
      <c r="C102" s="155"/>
      <c r="D102" s="155"/>
      <c r="E102" s="85"/>
      <c r="F102" s="85"/>
      <c r="G102" s="85"/>
      <c r="H102" s="85"/>
      <c r="I102" s="85"/>
      <c r="J102" s="85"/>
      <c r="K102" s="85"/>
      <c r="L102" s="54"/>
      <c r="M102" s="54"/>
      <c r="N102" s="54"/>
      <c r="O102" s="54"/>
      <c r="P102" s="54"/>
      <c r="Q102" s="54"/>
      <c r="R102" s="54"/>
      <c r="S102" s="86"/>
      <c r="T102" s="86"/>
      <c r="U102" s="35"/>
      <c r="V102" s="35"/>
      <c r="W102" s="35"/>
      <c r="X102" s="35"/>
      <c r="Y102" s="35"/>
    </row>
    <row r="103" spans="1:30" x14ac:dyDescent="0.3">
      <c r="B103" s="155">
        <f>'Levantamento Campo'!B22</f>
        <v>0</v>
      </c>
      <c r="C103" s="155"/>
      <c r="D103" s="155"/>
      <c r="E103" s="85"/>
      <c r="F103" s="85"/>
      <c r="G103" s="85"/>
      <c r="H103" s="85"/>
      <c r="I103" s="85"/>
      <c r="J103" s="85"/>
      <c r="K103" s="85"/>
      <c r="L103" s="54"/>
      <c r="M103" s="54"/>
      <c r="N103" s="54"/>
      <c r="O103" s="54"/>
      <c r="P103" s="54"/>
      <c r="Q103" s="54"/>
      <c r="R103" s="54"/>
      <c r="S103" s="86"/>
      <c r="T103" s="86"/>
      <c r="U103" s="35"/>
      <c r="V103" s="35"/>
      <c r="W103" s="35"/>
      <c r="X103" s="35"/>
      <c r="Y103" s="35"/>
    </row>
    <row r="104" spans="1:30" x14ac:dyDescent="0.3">
      <c r="B104" s="155">
        <f>'Levantamento Campo'!B23</f>
        <v>0</v>
      </c>
      <c r="C104" s="155"/>
      <c r="D104" s="155"/>
      <c r="E104" s="85"/>
      <c r="F104" s="85"/>
      <c r="G104" s="85"/>
      <c r="H104" s="85"/>
      <c r="I104" s="85"/>
      <c r="J104" s="85"/>
      <c r="K104" s="85"/>
      <c r="L104" s="54"/>
      <c r="M104" s="54"/>
      <c r="N104" s="54"/>
      <c r="O104" s="54"/>
      <c r="P104" s="54"/>
      <c r="Q104" s="54"/>
      <c r="R104" s="54"/>
      <c r="S104" s="86"/>
      <c r="T104" s="86"/>
      <c r="U104" s="35"/>
      <c r="V104" s="35"/>
      <c r="W104" s="35"/>
      <c r="X104" s="35"/>
      <c r="Y104" s="35"/>
    </row>
    <row r="105" spans="1:30" x14ac:dyDescent="0.3">
      <c r="B105" s="155">
        <f>'Levantamento Campo'!B83</f>
        <v>0</v>
      </c>
      <c r="C105" s="155"/>
      <c r="D105" s="155"/>
      <c r="E105" s="85"/>
      <c r="F105" s="85"/>
      <c r="G105" s="85"/>
      <c r="H105" s="85"/>
      <c r="I105" s="85"/>
      <c r="J105" s="85"/>
      <c r="K105" s="85"/>
      <c r="L105" s="54"/>
      <c r="M105" s="54"/>
      <c r="N105" s="54"/>
      <c r="O105" s="54"/>
      <c r="P105" s="54"/>
      <c r="Q105" s="54"/>
      <c r="R105" s="54"/>
      <c r="S105" s="86"/>
      <c r="T105" s="86"/>
      <c r="U105" s="35"/>
      <c r="V105" s="35"/>
      <c r="W105" s="35"/>
      <c r="X105" s="35"/>
      <c r="Y105" s="35"/>
    </row>
    <row r="106" spans="1:30" x14ac:dyDescent="0.3">
      <c r="B106" s="155">
        <f>'Levantamento Campo'!B84</f>
        <v>0</v>
      </c>
      <c r="C106" s="155"/>
      <c r="D106" s="155"/>
      <c r="E106" s="85"/>
      <c r="F106" s="85"/>
      <c r="G106" s="85"/>
      <c r="H106" s="85"/>
      <c r="I106" s="85"/>
      <c r="J106" s="85"/>
      <c r="K106" s="85"/>
      <c r="L106" s="54"/>
      <c r="M106" s="54"/>
      <c r="N106" s="54"/>
      <c r="O106" s="54"/>
      <c r="P106" s="54"/>
      <c r="Q106" s="54"/>
      <c r="R106" s="54"/>
      <c r="S106" s="86"/>
      <c r="T106" s="86"/>
      <c r="U106" s="35"/>
      <c r="V106" s="35"/>
      <c r="W106" s="35"/>
      <c r="X106" s="35"/>
      <c r="Y106" s="35"/>
    </row>
    <row r="107" spans="1:30" x14ac:dyDescent="0.3">
      <c r="B107" s="155">
        <f>'Levantamento Campo'!B85</f>
        <v>0</v>
      </c>
      <c r="C107" s="155"/>
      <c r="D107" s="155"/>
      <c r="E107" s="85"/>
      <c r="F107" s="85"/>
      <c r="G107" s="85"/>
      <c r="H107" s="85"/>
      <c r="I107" s="85"/>
      <c r="J107" s="85"/>
      <c r="K107" s="85"/>
      <c r="L107" s="54"/>
      <c r="M107" s="54"/>
      <c r="N107" s="54"/>
      <c r="O107" s="54"/>
      <c r="P107" s="54"/>
      <c r="Q107" s="54"/>
      <c r="R107" s="54"/>
      <c r="S107" s="86"/>
      <c r="T107" s="86"/>
      <c r="U107" s="35"/>
      <c r="V107" s="35"/>
      <c r="W107" s="35"/>
      <c r="X107" s="35"/>
      <c r="Y107" s="35"/>
    </row>
    <row r="108" spans="1:30" x14ac:dyDescent="0.3">
      <c r="B108" s="155">
        <f>'Levantamento Campo'!B108</f>
        <v>0</v>
      </c>
      <c r="C108" s="155"/>
      <c r="D108" s="155"/>
      <c r="E108" s="85"/>
      <c r="F108" s="85"/>
      <c r="G108" s="85"/>
      <c r="H108" s="85"/>
      <c r="I108" s="85"/>
      <c r="J108" s="85"/>
      <c r="K108" s="85"/>
      <c r="L108" s="54">
        <f>SUM(L105:L107)</f>
        <v>0</v>
      </c>
      <c r="M108" s="54">
        <f>SUM(M105:M107)</f>
        <v>0</v>
      </c>
      <c r="N108" s="54"/>
      <c r="O108" s="54"/>
      <c r="P108" s="54"/>
      <c r="Q108" s="54">
        <f>SUM(Q105:Q107)</f>
        <v>0</v>
      </c>
      <c r="R108" s="54">
        <f>SUM(R105:R107)</f>
        <v>0</v>
      </c>
      <c r="S108" s="86"/>
      <c r="T108" s="86"/>
      <c r="U108" s="35">
        <f>SUM(U105:U107)</f>
        <v>0</v>
      </c>
      <c r="V108" s="35">
        <f>SUM(V105:V107)</f>
        <v>0</v>
      </c>
      <c r="W108" s="35"/>
      <c r="X108" s="35"/>
      <c r="Y108" s="35">
        <f>SUM(Y105:Y107)</f>
        <v>0</v>
      </c>
    </row>
    <row r="109" spans="1:30" x14ac:dyDescent="0.3">
      <c r="B109" s="5"/>
      <c r="C109" s="5"/>
      <c r="D109" s="5"/>
      <c r="E109" s="8"/>
      <c r="F109" s="8"/>
      <c r="G109" s="8"/>
      <c r="H109" s="8"/>
      <c r="I109" s="8"/>
      <c r="J109" s="8"/>
      <c r="K109" s="8"/>
      <c r="L109" s="56"/>
      <c r="M109" s="56"/>
      <c r="N109" s="56"/>
      <c r="O109" s="56"/>
      <c r="P109" s="56"/>
      <c r="Q109" s="56"/>
      <c r="R109" s="56"/>
      <c r="S109" s="1"/>
      <c r="T109" s="1"/>
      <c r="U109" s="40"/>
      <c r="V109" s="40"/>
      <c r="W109" s="40"/>
      <c r="X109" s="40"/>
      <c r="Y109" s="40"/>
    </row>
    <row r="110" spans="1:30" ht="14.1" customHeight="1" x14ac:dyDescent="0.3">
      <c r="A110" s="34" t="s">
        <v>241</v>
      </c>
      <c r="B110" s="143" t="s">
        <v>242</v>
      </c>
      <c r="C110" s="143"/>
      <c r="D110" s="44"/>
    </row>
    <row r="112" spans="1:30" ht="14.1" customHeight="1" x14ac:dyDescent="0.3">
      <c r="B112" s="116" t="s">
        <v>5</v>
      </c>
      <c r="C112" s="116"/>
      <c r="D112" s="116"/>
      <c r="E112" s="116" t="s">
        <v>72</v>
      </c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3"/>
      <c r="T112" s="3"/>
      <c r="U112" s="3"/>
      <c r="V112" s="3"/>
      <c r="W112" s="3"/>
      <c r="X112" s="3"/>
      <c r="Y112" s="3"/>
      <c r="Z112" s="15"/>
      <c r="AA112" s="15"/>
      <c r="AB112" s="15"/>
      <c r="AC112" s="15"/>
      <c r="AD112" s="15"/>
    </row>
    <row r="113" spans="2:30" ht="14.1" customHeight="1" x14ac:dyDescent="0.3">
      <c r="B113" s="116"/>
      <c r="C113" s="116"/>
      <c r="D113" s="116"/>
      <c r="E113" s="116"/>
      <c r="F113" s="87"/>
      <c r="G113" s="87"/>
      <c r="H113" s="87"/>
      <c r="I113" s="87"/>
      <c r="J113" s="87"/>
      <c r="K113" s="87"/>
      <c r="L113" s="87"/>
      <c r="M113" s="15"/>
      <c r="N113" s="87"/>
      <c r="O113" s="87"/>
      <c r="P113" s="87"/>
      <c r="Q113" s="15"/>
      <c r="R113" s="87"/>
      <c r="S113" s="15"/>
      <c r="T113" s="15"/>
      <c r="U113" s="15"/>
      <c r="V113" s="15"/>
      <c r="W113" s="15"/>
      <c r="X113" s="15"/>
      <c r="Y113" s="15"/>
      <c r="Z113" s="15"/>
      <c r="AA113" s="38"/>
      <c r="AB113" s="15"/>
      <c r="AC113" s="15"/>
      <c r="AD113" s="15"/>
    </row>
    <row r="114" spans="2:30" ht="14.1" customHeight="1" x14ac:dyDescent="0.3">
      <c r="B114" s="155">
        <f>'Levantamento Campo'!B8</f>
        <v>0</v>
      </c>
      <c r="C114" s="155"/>
      <c r="D114" s="155"/>
      <c r="E114" s="9"/>
      <c r="F114" s="87"/>
      <c r="G114" s="87"/>
      <c r="H114" s="87"/>
      <c r="I114" s="87"/>
      <c r="J114" s="87"/>
      <c r="K114" s="88"/>
      <c r="L114" s="88"/>
      <c r="M114" s="21"/>
      <c r="N114" s="21"/>
      <c r="O114" s="87"/>
      <c r="P114" s="88"/>
      <c r="Q114" s="21"/>
      <c r="R114" s="88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2:30" ht="14.1" customHeight="1" x14ac:dyDescent="0.3">
      <c r="B115" s="155">
        <f>'Levantamento Campo'!B9</f>
        <v>0</v>
      </c>
      <c r="C115" s="155"/>
      <c r="D115" s="155"/>
      <c r="E115" s="68"/>
      <c r="F115" s="64"/>
      <c r="G115" s="89"/>
      <c r="H115" s="89"/>
      <c r="I115" s="89"/>
      <c r="J115" s="89"/>
      <c r="K115" s="89"/>
      <c r="L115" s="89"/>
      <c r="M115" s="89"/>
      <c r="N115" s="89"/>
      <c r="O115" s="90"/>
      <c r="P115" s="90"/>
      <c r="Q115" s="90"/>
      <c r="R115" s="90"/>
      <c r="T115" s="21"/>
      <c r="U115" s="21"/>
      <c r="V115" s="21"/>
      <c r="W115" s="15"/>
      <c r="X115" s="21"/>
      <c r="Y115" s="21"/>
      <c r="Z115" s="15"/>
      <c r="AA115" s="15"/>
      <c r="AB115" s="21"/>
      <c r="AC115" s="21"/>
      <c r="AD115" s="21"/>
    </row>
    <row r="116" spans="2:30" ht="14.1" customHeight="1" x14ac:dyDescent="0.3">
      <c r="B116" s="155">
        <f>'Levantamento Campo'!B10</f>
        <v>0</v>
      </c>
      <c r="C116" s="155"/>
      <c r="D116" s="155"/>
      <c r="E116" s="68"/>
      <c r="F116" s="91"/>
      <c r="G116" s="89"/>
      <c r="H116" s="89"/>
      <c r="I116" s="89"/>
      <c r="J116" s="89"/>
      <c r="K116" s="89"/>
      <c r="L116" s="89"/>
      <c r="M116" s="89"/>
      <c r="N116" s="89"/>
      <c r="O116" s="90"/>
      <c r="P116" s="90"/>
      <c r="Q116" s="90"/>
      <c r="R116" s="90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</row>
    <row r="117" spans="2:30" ht="14.1" customHeight="1" x14ac:dyDescent="0.3">
      <c r="B117" s="155">
        <f>'Levantamento Campo'!B11</f>
        <v>0</v>
      </c>
      <c r="C117" s="155"/>
      <c r="D117" s="155"/>
      <c r="E117" s="85"/>
      <c r="F117" s="91"/>
      <c r="G117" s="89"/>
      <c r="H117" s="89"/>
      <c r="I117" s="89"/>
      <c r="J117" s="89"/>
      <c r="K117" s="89"/>
      <c r="L117" s="89"/>
      <c r="M117" s="89"/>
      <c r="N117" s="89"/>
      <c r="O117" s="90"/>
      <c r="P117" s="90"/>
      <c r="Q117" s="90"/>
      <c r="R117" s="90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</row>
    <row r="118" spans="2:30" ht="14.1" customHeight="1" x14ac:dyDescent="0.3">
      <c r="B118" s="155">
        <f>'Levantamento Campo'!B12</f>
        <v>0</v>
      </c>
      <c r="C118" s="155"/>
      <c r="D118" s="155"/>
      <c r="E118" s="85"/>
      <c r="F118" s="91"/>
      <c r="G118" s="89"/>
      <c r="H118" s="89"/>
      <c r="I118" s="89"/>
      <c r="J118" s="89"/>
      <c r="K118" s="89"/>
      <c r="L118" s="89"/>
      <c r="M118" s="89"/>
      <c r="N118" s="89"/>
      <c r="O118" s="90"/>
      <c r="P118" s="90"/>
      <c r="Q118" s="90"/>
      <c r="R118" s="90"/>
      <c r="S118" s="56"/>
      <c r="T118" s="56"/>
      <c r="U118" s="56"/>
      <c r="V118" s="56"/>
      <c r="W118" s="56"/>
    </row>
    <row r="119" spans="2:30" x14ac:dyDescent="0.3">
      <c r="B119" s="155">
        <f>'Levantamento Campo'!B13</f>
        <v>0</v>
      </c>
      <c r="C119" s="155"/>
      <c r="D119" s="155"/>
      <c r="E119" s="85"/>
    </row>
    <row r="120" spans="2:30" x14ac:dyDescent="0.3">
      <c r="B120" s="155">
        <f>'Levantamento Campo'!B14</f>
        <v>0</v>
      </c>
      <c r="C120" s="155"/>
      <c r="D120" s="155"/>
      <c r="E120" s="85"/>
    </row>
    <row r="121" spans="2:30" ht="14.1" customHeight="1" x14ac:dyDescent="0.3">
      <c r="B121" s="155">
        <f>'Levantamento Campo'!B15</f>
        <v>0</v>
      </c>
      <c r="C121" s="155"/>
      <c r="D121" s="155"/>
      <c r="E121" s="85"/>
    </row>
    <row r="122" spans="2:30" x14ac:dyDescent="0.3">
      <c r="B122" s="155">
        <f>'Levantamento Campo'!B16</f>
        <v>0</v>
      </c>
      <c r="C122" s="155"/>
      <c r="D122" s="155"/>
      <c r="E122" s="85"/>
    </row>
    <row r="123" spans="2:30" ht="14.1" customHeight="1" x14ac:dyDescent="0.3">
      <c r="B123" s="155">
        <f>'Levantamento Campo'!B17</f>
        <v>0</v>
      </c>
      <c r="C123" s="155"/>
      <c r="D123" s="155"/>
      <c r="E123" s="85"/>
      <c r="F123" s="15"/>
      <c r="G123" s="15"/>
      <c r="H123" s="15"/>
      <c r="I123" s="15"/>
      <c r="J123" s="15"/>
      <c r="K123" s="15"/>
      <c r="L123" s="15"/>
      <c r="M123" s="15"/>
      <c r="N123" s="3"/>
      <c r="O123" s="3"/>
      <c r="P123" s="3"/>
      <c r="Q123" s="3"/>
      <c r="R123" s="3"/>
      <c r="S123" s="15"/>
      <c r="T123" s="15"/>
      <c r="U123" s="15"/>
    </row>
    <row r="124" spans="2:30" ht="14.1" customHeight="1" x14ac:dyDescent="0.3">
      <c r="B124" s="155">
        <f>'Levantamento Campo'!B18</f>
        <v>0</v>
      </c>
      <c r="C124" s="155"/>
      <c r="D124" s="155"/>
      <c r="E124" s="85"/>
      <c r="F124" s="15"/>
      <c r="G124" s="15"/>
      <c r="H124" s="15"/>
      <c r="I124" s="15"/>
      <c r="J124" s="15"/>
      <c r="K124" s="15"/>
      <c r="L124" s="87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2:30" ht="14.1" customHeight="1" x14ac:dyDescent="0.3">
      <c r="B125" s="155">
        <f>'Levantamento Campo'!B19</f>
        <v>0</v>
      </c>
      <c r="C125" s="155"/>
      <c r="D125" s="155"/>
      <c r="E125" s="85"/>
      <c r="F125" s="15"/>
      <c r="G125" s="21"/>
      <c r="H125" s="21"/>
      <c r="I125" s="21"/>
      <c r="J125" s="21"/>
      <c r="K125" s="21"/>
      <c r="L125" s="88"/>
      <c r="M125" s="21"/>
      <c r="N125" s="21"/>
      <c r="O125" s="21"/>
      <c r="P125" s="21"/>
      <c r="Q125" s="21"/>
      <c r="R125" s="21"/>
      <c r="S125" s="21"/>
      <c r="T125" s="21"/>
      <c r="U125" s="21"/>
    </row>
    <row r="126" spans="2:30" ht="14.1" customHeight="1" x14ac:dyDescent="0.3">
      <c r="B126" s="155">
        <f>'Levantamento Campo'!B20</f>
        <v>0</v>
      </c>
      <c r="C126" s="155"/>
      <c r="D126" s="155"/>
      <c r="E126" s="85"/>
      <c r="F126" s="14"/>
      <c r="G126" s="22"/>
      <c r="H126" s="22"/>
      <c r="I126" s="92"/>
      <c r="J126" s="92"/>
      <c r="K126" s="14"/>
      <c r="L126" s="22"/>
      <c r="M126" s="22"/>
      <c r="O126" s="21"/>
      <c r="P126" s="21"/>
      <c r="Q126" s="21"/>
      <c r="R126" s="15"/>
      <c r="S126" s="21"/>
      <c r="T126" s="21"/>
      <c r="U126" s="21"/>
    </row>
    <row r="127" spans="2:30" ht="14.1" customHeight="1" x14ac:dyDescent="0.3">
      <c r="B127" s="155">
        <f>'Levantamento Campo'!B21</f>
        <v>0</v>
      </c>
      <c r="C127" s="155"/>
      <c r="D127" s="155"/>
      <c r="E127" s="85"/>
      <c r="F127" s="15"/>
      <c r="G127" s="22"/>
      <c r="H127" s="22"/>
      <c r="I127" s="87"/>
      <c r="J127" s="87"/>
      <c r="K127" s="15"/>
      <c r="L127" s="22"/>
      <c r="M127" s="22"/>
      <c r="O127" s="42"/>
      <c r="P127" s="42"/>
      <c r="Q127" s="42"/>
      <c r="R127" s="42"/>
      <c r="S127" s="42"/>
      <c r="T127" s="42"/>
      <c r="U127" s="42"/>
    </row>
    <row r="128" spans="2:30" ht="14.1" customHeight="1" x14ac:dyDescent="0.3">
      <c r="B128" s="155">
        <f>'Levantamento Campo'!B22</f>
        <v>0</v>
      </c>
      <c r="C128" s="155"/>
      <c r="D128" s="155"/>
      <c r="E128" s="85"/>
      <c r="F128" s="64"/>
      <c r="G128" s="90"/>
      <c r="H128" s="90"/>
      <c r="I128" s="90"/>
      <c r="J128" s="90"/>
      <c r="K128" s="90"/>
      <c r="L128" s="90"/>
      <c r="M128" s="90"/>
      <c r="O128" s="42"/>
      <c r="P128" s="42"/>
      <c r="Q128" s="42"/>
      <c r="R128" s="42"/>
      <c r="S128" s="42"/>
      <c r="T128" s="42"/>
      <c r="U128" s="42"/>
    </row>
    <row r="129" spans="1:21" ht="14.1" customHeight="1" x14ac:dyDescent="0.3">
      <c r="B129" s="155">
        <f>'Levantamento Campo'!B23</f>
        <v>0</v>
      </c>
      <c r="C129" s="155"/>
      <c r="D129" s="155"/>
      <c r="E129" s="85"/>
      <c r="F129" s="8"/>
      <c r="G129" s="8"/>
      <c r="H129" s="8"/>
      <c r="I129" s="8"/>
      <c r="J129" s="8"/>
      <c r="K129" s="8"/>
      <c r="L129" s="56"/>
      <c r="M129" s="56"/>
      <c r="N129" s="56"/>
      <c r="O129" s="56"/>
      <c r="P129" s="56"/>
      <c r="Q129" s="56"/>
      <c r="R129" s="56"/>
      <c r="S129" s="56"/>
      <c r="T129" s="56"/>
      <c r="U129" s="56"/>
    </row>
    <row r="130" spans="1:21" x14ac:dyDescent="0.3">
      <c r="B130" s="155">
        <f>'Levantamento Campo'!B83</f>
        <v>0</v>
      </c>
      <c r="C130" s="155"/>
      <c r="D130" s="155"/>
      <c r="E130" s="85"/>
    </row>
    <row r="131" spans="1:21" x14ac:dyDescent="0.3">
      <c r="B131" s="155">
        <f>'Levantamento Campo'!B84</f>
        <v>0</v>
      </c>
      <c r="C131" s="155"/>
      <c r="D131" s="155"/>
      <c r="E131" s="85"/>
    </row>
    <row r="132" spans="1:21" ht="14.1" customHeight="1" x14ac:dyDescent="0.3">
      <c r="B132" s="155">
        <f>'Levantamento Campo'!B85</f>
        <v>0</v>
      </c>
      <c r="C132" s="155"/>
      <c r="D132" s="155"/>
      <c r="E132" s="85"/>
    </row>
    <row r="133" spans="1:21" x14ac:dyDescent="0.3">
      <c r="B133" s="155">
        <f>'Levantamento Campo'!B108</f>
        <v>0</v>
      </c>
      <c r="C133" s="155"/>
      <c r="D133" s="155"/>
      <c r="E133" s="85"/>
    </row>
    <row r="134" spans="1:21" x14ac:dyDescent="0.3">
      <c r="B134" s="5"/>
      <c r="C134" s="5"/>
      <c r="D134" s="5"/>
      <c r="E134" s="8"/>
    </row>
    <row r="135" spans="1:21" ht="14.1" customHeight="1" x14ac:dyDescent="0.3">
      <c r="A135" s="34" t="s">
        <v>243</v>
      </c>
      <c r="B135" s="156" t="s">
        <v>244</v>
      </c>
      <c r="C135" s="156"/>
      <c r="D135" s="5"/>
      <c r="E135" s="8"/>
    </row>
    <row r="136" spans="1:21" x14ac:dyDescent="0.3">
      <c r="B136" s="5"/>
      <c r="C136" s="5"/>
      <c r="D136" s="5"/>
      <c r="E136" s="8"/>
    </row>
    <row r="137" spans="1:21" ht="14.1" customHeight="1" x14ac:dyDescent="0.3">
      <c r="B137" s="15"/>
      <c r="C137" s="15"/>
      <c r="D137" s="15"/>
      <c r="E137" s="116" t="s">
        <v>72</v>
      </c>
      <c r="F137" s="153" t="s">
        <v>140</v>
      </c>
      <c r="G137" s="116" t="s">
        <v>245</v>
      </c>
      <c r="H137" s="116"/>
      <c r="I137" s="116"/>
      <c r="J137" s="116" t="s">
        <v>246</v>
      </c>
      <c r="K137" s="116"/>
      <c r="L137" s="116"/>
      <c r="M137" s="116" t="s">
        <v>247</v>
      </c>
      <c r="N137" s="116"/>
      <c r="O137" s="116"/>
      <c r="P137" s="23" t="s">
        <v>248</v>
      </c>
    </row>
    <row r="138" spans="1:21" ht="14.1" customHeight="1" x14ac:dyDescent="0.3">
      <c r="B138" s="116" t="s">
        <v>5</v>
      </c>
      <c r="C138" s="116"/>
      <c r="D138" s="116"/>
      <c r="E138" s="116"/>
      <c r="F138" s="153"/>
      <c r="G138" s="9" t="s">
        <v>6</v>
      </c>
      <c r="H138" s="9" t="s">
        <v>8</v>
      </c>
      <c r="I138" s="73" t="s">
        <v>10</v>
      </c>
      <c r="J138" s="116" t="s">
        <v>89</v>
      </c>
      <c r="K138" s="9" t="s">
        <v>6</v>
      </c>
      <c r="L138" s="9" t="s">
        <v>8</v>
      </c>
      <c r="M138" s="116" t="s">
        <v>89</v>
      </c>
      <c r="N138" s="9" t="s">
        <v>6</v>
      </c>
      <c r="O138" s="116" t="s">
        <v>249</v>
      </c>
      <c r="P138" s="9" t="s">
        <v>6</v>
      </c>
    </row>
    <row r="139" spans="1:21" ht="14.1" customHeight="1" x14ac:dyDescent="0.3">
      <c r="B139" s="116"/>
      <c r="C139" s="116"/>
      <c r="D139" s="116"/>
      <c r="E139" s="116"/>
      <c r="F139" s="153"/>
      <c r="G139" s="17" t="s">
        <v>13</v>
      </c>
      <c r="H139" s="17" t="s">
        <v>13</v>
      </c>
      <c r="I139" s="76" t="s">
        <v>14</v>
      </c>
      <c r="J139" s="116"/>
      <c r="K139" s="17" t="s">
        <v>13</v>
      </c>
      <c r="L139" s="17" t="s">
        <v>13</v>
      </c>
      <c r="M139" s="116"/>
      <c r="N139" s="17" t="s">
        <v>13</v>
      </c>
      <c r="O139" s="116"/>
      <c r="P139" s="17" t="s">
        <v>13</v>
      </c>
    </row>
    <row r="140" spans="1:21" ht="14.1" customHeight="1" x14ac:dyDescent="0.3">
      <c r="B140" s="134">
        <f>'Levantamento Campo'!B8</f>
        <v>0</v>
      </c>
      <c r="C140" s="134"/>
      <c r="D140" s="134"/>
      <c r="E140" s="9"/>
      <c r="F140" s="4"/>
      <c r="G140" s="17"/>
      <c r="H140" s="17"/>
      <c r="I140" s="76"/>
      <c r="J140" s="9"/>
      <c r="K140" s="17"/>
      <c r="L140" s="17"/>
      <c r="M140" s="9"/>
      <c r="N140" s="17"/>
      <c r="O140" s="9"/>
      <c r="P140" s="17"/>
    </row>
    <row r="141" spans="1:21" ht="14.1" customHeight="1" x14ac:dyDescent="0.3">
      <c r="B141" s="134">
        <f>'Levantamento Campo'!B9</f>
        <v>0</v>
      </c>
      <c r="C141" s="134"/>
      <c r="D141" s="134"/>
      <c r="E141" s="9"/>
      <c r="F141" s="4"/>
      <c r="G141" s="17"/>
      <c r="H141" s="17"/>
      <c r="I141" s="76"/>
      <c r="J141" s="9"/>
      <c r="K141" s="17"/>
      <c r="L141" s="17"/>
      <c r="M141" s="9"/>
      <c r="N141" s="17"/>
      <c r="O141" s="9"/>
      <c r="P141" s="17"/>
    </row>
    <row r="142" spans="1:21" ht="14.1" customHeight="1" x14ac:dyDescent="0.3">
      <c r="B142" s="134">
        <f>'Levantamento Campo'!B10</f>
        <v>0</v>
      </c>
      <c r="C142" s="134"/>
      <c r="D142" s="134"/>
      <c r="E142" s="9"/>
      <c r="F142" s="4"/>
      <c r="G142" s="17"/>
      <c r="H142" s="17"/>
      <c r="I142" s="76"/>
      <c r="J142" s="9"/>
      <c r="K142" s="17"/>
      <c r="L142" s="17"/>
      <c r="M142" s="9"/>
      <c r="N142" s="17"/>
      <c r="O142" s="9"/>
      <c r="P142" s="17"/>
    </row>
    <row r="143" spans="1:21" ht="14.1" customHeight="1" x14ac:dyDescent="0.3">
      <c r="B143" s="134">
        <f>'Levantamento Campo'!B11</f>
        <v>0</v>
      </c>
      <c r="C143" s="134"/>
      <c r="D143" s="134"/>
      <c r="E143" s="9"/>
      <c r="F143" s="4"/>
      <c r="G143" s="17"/>
      <c r="H143" s="17"/>
      <c r="I143" s="76"/>
      <c r="J143" s="9"/>
      <c r="K143" s="17"/>
      <c r="L143" s="17"/>
      <c r="M143" s="9"/>
      <c r="N143" s="17"/>
      <c r="O143" s="9"/>
      <c r="P143" s="17"/>
    </row>
    <row r="144" spans="1:21" ht="14.1" customHeight="1" x14ac:dyDescent="0.3">
      <c r="B144" s="134">
        <f>'Levantamento Campo'!B12</f>
        <v>0</v>
      </c>
      <c r="C144" s="134"/>
      <c r="D144" s="134"/>
      <c r="E144" s="9"/>
      <c r="F144" s="4"/>
      <c r="G144" s="17"/>
      <c r="H144" s="17"/>
      <c r="I144" s="76"/>
      <c r="J144" s="9"/>
      <c r="K144" s="17"/>
      <c r="L144" s="17"/>
      <c r="M144" s="9"/>
      <c r="N144" s="17"/>
      <c r="O144" s="9"/>
      <c r="P144" s="17"/>
    </row>
    <row r="145" spans="1:16" ht="14.1" customHeight="1" x14ac:dyDescent="0.3">
      <c r="B145" s="134">
        <f>'Levantamento Campo'!B13</f>
        <v>0</v>
      </c>
      <c r="C145" s="134"/>
      <c r="D145" s="134"/>
      <c r="E145" s="9"/>
      <c r="F145" s="4"/>
      <c r="G145" s="17"/>
      <c r="H145" s="17"/>
      <c r="I145" s="76"/>
      <c r="J145" s="9"/>
      <c r="K145" s="17"/>
      <c r="L145" s="17"/>
      <c r="M145" s="9"/>
      <c r="N145" s="17"/>
      <c r="O145" s="9"/>
      <c r="P145" s="17"/>
    </row>
    <row r="146" spans="1:16" ht="14.1" customHeight="1" x14ac:dyDescent="0.3">
      <c r="B146" s="134">
        <f>'Levantamento Campo'!B14</f>
        <v>0</v>
      </c>
      <c r="C146" s="134"/>
      <c r="D146" s="134"/>
      <c r="E146" s="9"/>
      <c r="F146" s="4"/>
      <c r="G146" s="17"/>
      <c r="H146" s="17"/>
      <c r="I146" s="76"/>
      <c r="J146" s="9"/>
      <c r="K146" s="17"/>
      <c r="L146" s="17"/>
      <c r="M146" s="9"/>
      <c r="N146" s="17"/>
      <c r="O146" s="9"/>
      <c r="P146" s="17"/>
    </row>
    <row r="147" spans="1:16" ht="14.1" customHeight="1" x14ac:dyDescent="0.3">
      <c r="B147" s="134">
        <f>'Levantamento Campo'!B15</f>
        <v>0</v>
      </c>
      <c r="C147" s="134"/>
      <c r="D147" s="134"/>
      <c r="E147" s="9"/>
      <c r="F147" s="4"/>
      <c r="G147" s="17"/>
      <c r="H147" s="17"/>
      <c r="I147" s="76"/>
      <c r="J147" s="9"/>
      <c r="K147" s="17"/>
      <c r="L147" s="17"/>
      <c r="M147" s="9"/>
      <c r="N147" s="17"/>
      <c r="O147" s="9"/>
      <c r="P147" s="17"/>
    </row>
    <row r="148" spans="1:16" ht="14.1" customHeight="1" x14ac:dyDescent="0.3">
      <c r="B148" s="134">
        <f>'Levantamento Campo'!B16</f>
        <v>0</v>
      </c>
      <c r="C148" s="134"/>
      <c r="D148" s="134"/>
      <c r="E148" s="9"/>
      <c r="F148" s="4"/>
      <c r="G148" s="17"/>
      <c r="H148" s="17"/>
      <c r="I148" s="76"/>
      <c r="J148" s="9"/>
      <c r="K148" s="17"/>
      <c r="L148" s="17"/>
      <c r="M148" s="9"/>
      <c r="N148" s="17"/>
      <c r="O148" s="9"/>
      <c r="P148" s="17"/>
    </row>
    <row r="149" spans="1:16" ht="14.1" customHeight="1" x14ac:dyDescent="0.3">
      <c r="B149" s="134">
        <f>'Levantamento Campo'!B17</f>
        <v>0</v>
      </c>
      <c r="C149" s="134"/>
      <c r="D149" s="134"/>
      <c r="E149" s="9"/>
      <c r="F149" s="4"/>
      <c r="G149" s="17"/>
      <c r="H149" s="17"/>
      <c r="I149" s="76"/>
      <c r="J149" s="9"/>
      <c r="K149" s="17"/>
      <c r="L149" s="17"/>
      <c r="M149" s="9"/>
      <c r="N149" s="17"/>
      <c r="O149" s="9"/>
      <c r="P149" s="17"/>
    </row>
    <row r="150" spans="1:16" ht="14.1" customHeight="1" x14ac:dyDescent="0.3">
      <c r="B150" s="134">
        <f>'Levantamento Campo'!B18</f>
        <v>0</v>
      </c>
      <c r="C150" s="134"/>
      <c r="D150" s="134"/>
      <c r="E150" s="9"/>
      <c r="F150" s="4"/>
      <c r="G150" s="17"/>
      <c r="H150" s="17"/>
      <c r="I150" s="76"/>
      <c r="J150" s="9"/>
      <c r="K150" s="17"/>
      <c r="L150" s="17"/>
      <c r="M150" s="9"/>
      <c r="N150" s="17"/>
      <c r="O150" s="9"/>
      <c r="P150" s="17"/>
    </row>
    <row r="151" spans="1:16" ht="14.1" customHeight="1" x14ac:dyDescent="0.3">
      <c r="B151" s="134">
        <f>'Levantamento Campo'!B19</f>
        <v>0</v>
      </c>
      <c r="C151" s="134"/>
      <c r="D151" s="134"/>
      <c r="E151" s="68"/>
      <c r="F151" s="4"/>
      <c r="G151" s="17"/>
      <c r="H151" s="17"/>
      <c r="I151" s="76"/>
      <c r="J151" s="9"/>
      <c r="K151" s="17"/>
      <c r="L151" s="17"/>
      <c r="M151" s="9"/>
      <c r="N151" s="17"/>
      <c r="O151" s="9"/>
      <c r="P151" s="17"/>
    </row>
    <row r="152" spans="1:16" ht="14.1" customHeight="1" x14ac:dyDescent="0.3">
      <c r="B152" s="134">
        <f>'Levantamento Campo'!B20</f>
        <v>0</v>
      </c>
      <c r="C152" s="134"/>
      <c r="D152" s="134"/>
      <c r="E152" s="68"/>
      <c r="F152" s="4"/>
      <c r="G152" s="17"/>
      <c r="H152" s="17"/>
      <c r="I152" s="76"/>
      <c r="J152" s="9"/>
      <c r="K152" s="17"/>
      <c r="L152" s="17"/>
      <c r="M152" s="9"/>
      <c r="N152" s="17"/>
      <c r="O152" s="9"/>
      <c r="P152" s="17"/>
    </row>
    <row r="153" spans="1:16" ht="14.1" customHeight="1" x14ac:dyDescent="0.3">
      <c r="B153" s="134">
        <f>'Levantamento Campo'!B21</f>
        <v>0</v>
      </c>
      <c r="C153" s="134"/>
      <c r="D153" s="134"/>
      <c r="E153" s="68"/>
      <c r="F153" s="4"/>
      <c r="G153" s="17"/>
      <c r="H153" s="17"/>
      <c r="I153" s="76"/>
      <c r="J153" s="9"/>
      <c r="K153" s="17"/>
      <c r="L153" s="17"/>
      <c r="M153" s="9"/>
      <c r="N153" s="17"/>
      <c r="O153" s="9"/>
      <c r="P153" s="17"/>
    </row>
    <row r="154" spans="1:16" ht="14.1" customHeight="1" x14ac:dyDescent="0.3">
      <c r="B154" s="134">
        <f>'Levantamento Campo'!B22</f>
        <v>0</v>
      </c>
      <c r="C154" s="134"/>
      <c r="D154" s="134"/>
      <c r="E154" s="63"/>
      <c r="F154" s="4"/>
      <c r="G154" s="17"/>
      <c r="H154" s="17"/>
      <c r="I154" s="76"/>
      <c r="J154" s="9"/>
      <c r="K154" s="17"/>
      <c r="L154" s="17"/>
      <c r="M154" s="9"/>
      <c r="N154" s="17"/>
      <c r="O154" s="9"/>
      <c r="P154" s="17"/>
    </row>
    <row r="155" spans="1:16" ht="14.1" customHeight="1" x14ac:dyDescent="0.3">
      <c r="B155" s="134">
        <f>'Levantamento Campo'!B23</f>
        <v>0</v>
      </c>
      <c r="C155" s="134"/>
      <c r="D155" s="134"/>
      <c r="E155" s="63"/>
      <c r="F155" s="4"/>
      <c r="G155" s="17"/>
      <c r="H155" s="17"/>
      <c r="I155" s="76"/>
      <c r="J155" s="9"/>
      <c r="K155" s="17"/>
      <c r="L155" s="17"/>
      <c r="M155" s="9"/>
      <c r="N155" s="17"/>
      <c r="O155" s="9"/>
      <c r="P155" s="17"/>
    </row>
    <row r="156" spans="1:16" ht="14.1" customHeight="1" x14ac:dyDescent="0.3">
      <c r="B156" s="134">
        <f>'Levantamento Campo'!B83</f>
        <v>0</v>
      </c>
      <c r="C156" s="134"/>
      <c r="D156" s="134"/>
      <c r="E156" s="63"/>
      <c r="F156" s="93"/>
      <c r="G156" s="79"/>
      <c r="H156" s="79"/>
      <c r="I156" s="79"/>
      <c r="J156" s="79"/>
      <c r="K156" s="79"/>
      <c r="L156" s="79"/>
      <c r="M156" s="79"/>
      <c r="N156" s="79"/>
      <c r="O156" s="79"/>
      <c r="P156" s="79"/>
    </row>
    <row r="157" spans="1:16" ht="14.1" customHeight="1" x14ac:dyDescent="0.3">
      <c r="B157" s="134">
        <f>'Levantamento Campo'!B84</f>
        <v>0</v>
      </c>
      <c r="C157" s="134"/>
      <c r="D157" s="134"/>
      <c r="E157" s="63"/>
      <c r="F157" s="93"/>
      <c r="G157" s="79"/>
      <c r="H157" s="79"/>
      <c r="I157" s="79"/>
      <c r="J157" s="79"/>
      <c r="K157" s="79"/>
      <c r="L157" s="79"/>
      <c r="M157" s="79"/>
      <c r="N157" s="79"/>
      <c r="O157" s="79"/>
      <c r="P157" s="79"/>
    </row>
    <row r="158" spans="1:16" ht="14.1" customHeight="1" x14ac:dyDescent="0.3">
      <c r="B158" s="145" t="s">
        <v>29</v>
      </c>
      <c r="C158" s="145"/>
      <c r="D158" s="145"/>
      <c r="E158" s="145"/>
      <c r="F158" s="145"/>
      <c r="G158" s="145"/>
      <c r="H158" s="145"/>
      <c r="I158" s="54">
        <f>SUM(I150:I157)</f>
        <v>0</v>
      </c>
      <c r="J158" s="55">
        <f>SUM(J150:J157)</f>
        <v>0</v>
      </c>
      <c r="K158" s="54"/>
      <c r="L158" s="54"/>
      <c r="M158" s="54">
        <f>SUM(M150:M157)</f>
        <v>0</v>
      </c>
      <c r="N158" s="54">
        <f>SUM(N150:N157)</f>
        <v>0</v>
      </c>
      <c r="O158" s="54"/>
      <c r="P158" s="54">
        <f>SUM(P150:P157)</f>
        <v>0</v>
      </c>
    </row>
    <row r="160" spans="1:16" x14ac:dyDescent="0.3">
      <c r="A160" s="34" t="s">
        <v>250</v>
      </c>
      <c r="B160" s="130" t="s">
        <v>251</v>
      </c>
      <c r="C160" s="130"/>
      <c r="D160" s="130"/>
      <c r="E160" s="130"/>
    </row>
    <row r="162" spans="2:17" x14ac:dyDescent="0.3">
      <c r="F162" s="117" t="s">
        <v>252</v>
      </c>
      <c r="G162" s="117"/>
      <c r="H162" s="117"/>
      <c r="I162" s="117" t="s">
        <v>253</v>
      </c>
      <c r="J162" s="117"/>
      <c r="K162" s="117"/>
      <c r="L162" s="117" t="s">
        <v>254</v>
      </c>
      <c r="M162" s="117"/>
      <c r="N162" s="117"/>
      <c r="O162" s="117" t="s">
        <v>255</v>
      </c>
      <c r="P162" s="117"/>
      <c r="Q162" s="117"/>
    </row>
    <row r="163" spans="2:17" ht="14.1" customHeight="1" x14ac:dyDescent="0.3">
      <c r="B163" s="116" t="s">
        <v>5</v>
      </c>
      <c r="C163" s="116"/>
      <c r="D163" s="116"/>
      <c r="E163" s="116" t="s">
        <v>72</v>
      </c>
      <c r="F163" s="52" t="s">
        <v>8</v>
      </c>
      <c r="G163" s="52" t="s">
        <v>6</v>
      </c>
      <c r="H163" s="52" t="s">
        <v>10</v>
      </c>
      <c r="I163" s="52" t="s">
        <v>8</v>
      </c>
      <c r="J163" s="52" t="s">
        <v>6</v>
      </c>
      <c r="K163" s="52" t="s">
        <v>10</v>
      </c>
      <c r="L163" s="52" t="s">
        <v>8</v>
      </c>
      <c r="M163" s="52" t="s">
        <v>6</v>
      </c>
      <c r="N163" s="52" t="s">
        <v>10</v>
      </c>
      <c r="O163" s="52" t="s">
        <v>8</v>
      </c>
      <c r="P163" s="52" t="s">
        <v>6</v>
      </c>
      <c r="Q163" s="52" t="s">
        <v>10</v>
      </c>
    </row>
    <row r="164" spans="2:17" x14ac:dyDescent="0.3">
      <c r="B164" s="116"/>
      <c r="C164" s="116"/>
      <c r="D164" s="116"/>
      <c r="E164" s="116"/>
      <c r="F164" s="17" t="s">
        <v>13</v>
      </c>
      <c r="G164" s="17" t="s">
        <v>13</v>
      </c>
      <c r="H164" s="17" t="s">
        <v>14</v>
      </c>
      <c r="I164" s="17" t="s">
        <v>13</v>
      </c>
      <c r="J164" s="17" t="s">
        <v>13</v>
      </c>
      <c r="K164" s="17" t="s">
        <v>14</v>
      </c>
      <c r="L164" s="17" t="s">
        <v>13</v>
      </c>
      <c r="M164" s="17" t="s">
        <v>13</v>
      </c>
      <c r="N164" s="17" t="s">
        <v>14</v>
      </c>
      <c r="O164" s="17" t="s">
        <v>13</v>
      </c>
      <c r="P164" s="17" t="s">
        <v>13</v>
      </c>
      <c r="Q164" s="17" t="s">
        <v>14</v>
      </c>
    </row>
    <row r="165" spans="2:17" x14ac:dyDescent="0.3">
      <c r="B165" s="134">
        <f>'Levantamento Campo'!B8</f>
        <v>0</v>
      </c>
      <c r="C165" s="134"/>
      <c r="D165" s="134"/>
      <c r="E165" s="9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</row>
    <row r="166" spans="2:17" x14ac:dyDescent="0.3">
      <c r="B166" s="134">
        <f>'Levantamento Campo'!B9</f>
        <v>0</v>
      </c>
      <c r="C166" s="134"/>
      <c r="D166" s="134"/>
      <c r="E166" s="9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</row>
    <row r="167" spans="2:17" x14ac:dyDescent="0.3">
      <c r="B167" s="134">
        <f>'Levantamento Campo'!B10</f>
        <v>0</v>
      </c>
      <c r="C167" s="134"/>
      <c r="D167" s="134"/>
      <c r="E167" s="9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spans="2:17" x14ac:dyDescent="0.3">
      <c r="B168" s="134">
        <f>'Levantamento Campo'!B11</f>
        <v>0</v>
      </c>
      <c r="C168" s="134"/>
      <c r="D168" s="134"/>
      <c r="E168" s="9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  <row r="169" spans="2:17" x14ac:dyDescent="0.3">
      <c r="B169" s="134">
        <f>'Levantamento Campo'!B12</f>
        <v>0</v>
      </c>
      <c r="C169" s="134"/>
      <c r="D169" s="134"/>
      <c r="E169" s="9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</row>
    <row r="170" spans="2:17" x14ac:dyDescent="0.3">
      <c r="B170" s="134">
        <f>'Levantamento Campo'!B13</f>
        <v>0</v>
      </c>
      <c r="C170" s="134"/>
      <c r="D170" s="134"/>
      <c r="E170" s="9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</row>
    <row r="171" spans="2:17" x14ac:dyDescent="0.3">
      <c r="B171" s="134">
        <f>'Levantamento Campo'!B14</f>
        <v>0</v>
      </c>
      <c r="C171" s="134"/>
      <c r="D171" s="134"/>
      <c r="E171" s="9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 spans="2:17" x14ac:dyDescent="0.3">
      <c r="B172" s="134">
        <f>'Levantamento Campo'!B15</f>
        <v>0</v>
      </c>
      <c r="C172" s="134"/>
      <c r="D172" s="134"/>
      <c r="E172" s="9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</row>
    <row r="173" spans="2:17" x14ac:dyDescent="0.3">
      <c r="B173" s="134">
        <f>'Levantamento Campo'!B16</f>
        <v>0</v>
      </c>
      <c r="C173" s="134"/>
      <c r="D173" s="134"/>
      <c r="E173" s="9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</row>
    <row r="174" spans="2:17" x14ac:dyDescent="0.3">
      <c r="B174" s="134">
        <f>'Levantamento Campo'!B17</f>
        <v>0</v>
      </c>
      <c r="C174" s="134"/>
      <c r="D174" s="134"/>
      <c r="E174" s="9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</row>
    <row r="175" spans="2:17" x14ac:dyDescent="0.3">
      <c r="B175" s="134">
        <f>'Levantamento Campo'!B18</f>
        <v>0</v>
      </c>
      <c r="C175" s="134"/>
      <c r="D175" s="134"/>
      <c r="E175" s="9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 spans="2:17" x14ac:dyDescent="0.3">
      <c r="B176" s="134">
        <f>'Levantamento Campo'!B19</f>
        <v>0</v>
      </c>
      <c r="C176" s="134"/>
      <c r="D176" s="134"/>
      <c r="E176" s="9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 spans="1:17" x14ac:dyDescent="0.3">
      <c r="B177" s="134">
        <f>'Levantamento Campo'!B20</f>
        <v>0</v>
      </c>
      <c r="C177" s="134"/>
      <c r="D177" s="134"/>
      <c r="E177" s="9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</row>
    <row r="178" spans="1:17" x14ac:dyDescent="0.3">
      <c r="B178" s="134">
        <f>'Levantamento Campo'!B21</f>
        <v>0</v>
      </c>
      <c r="C178" s="134"/>
      <c r="D178" s="134"/>
      <c r="E178" s="9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</row>
    <row r="179" spans="1:17" x14ac:dyDescent="0.3">
      <c r="B179" s="134">
        <f>'Levantamento Campo'!B22</f>
        <v>0</v>
      </c>
      <c r="C179" s="134"/>
      <c r="D179" s="134"/>
      <c r="E179" s="9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</row>
    <row r="180" spans="1:17" x14ac:dyDescent="0.3">
      <c r="B180" s="134">
        <f>'Levantamento Campo'!B23</f>
        <v>0</v>
      </c>
      <c r="C180" s="134"/>
      <c r="D180" s="134"/>
      <c r="E180" s="9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</row>
    <row r="181" spans="1:17" x14ac:dyDescent="0.3">
      <c r="B181" s="134">
        <f>'Levantamento Campo'!B83</f>
        <v>0</v>
      </c>
      <c r="C181" s="134"/>
      <c r="D181" s="134"/>
      <c r="E181" s="9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</row>
    <row r="182" spans="1:17" x14ac:dyDescent="0.3">
      <c r="B182" s="134">
        <f>'Levantamento Campo'!B84</f>
        <v>0</v>
      </c>
      <c r="C182" s="134"/>
      <c r="D182" s="134"/>
      <c r="E182" s="9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 spans="1:17" x14ac:dyDescent="0.3">
      <c r="B183" s="134">
        <f>'Levantamento Campo'!B85</f>
        <v>0</v>
      </c>
      <c r="C183" s="134"/>
      <c r="D183" s="134"/>
      <c r="E183" s="82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</row>
    <row r="184" spans="1:17" x14ac:dyDescent="0.3">
      <c r="B184" s="134">
        <f>'Levantamento Campo'!B108</f>
        <v>0</v>
      </c>
      <c r="C184" s="134"/>
      <c r="D184" s="134"/>
      <c r="E184" s="82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</row>
    <row r="185" spans="1:17" ht="14.1" customHeight="1" x14ac:dyDescent="0.3">
      <c r="B185" s="145" t="s">
        <v>29</v>
      </c>
      <c r="C185" s="145"/>
      <c r="D185" s="145"/>
      <c r="E185" s="145"/>
      <c r="F185" s="145"/>
      <c r="G185" s="145"/>
      <c r="H185" s="26">
        <f>SUM(H165:H184)</f>
        <v>0</v>
      </c>
      <c r="I185" s="26"/>
      <c r="J185" s="26"/>
      <c r="K185" s="26">
        <f>SUM(K165:K184)</f>
        <v>0</v>
      </c>
      <c r="L185" s="26"/>
      <c r="M185" s="26"/>
      <c r="N185" s="26">
        <f>SUM(N165:N184)</f>
        <v>0</v>
      </c>
      <c r="O185" s="26"/>
      <c r="P185" s="26"/>
      <c r="Q185" s="26">
        <f>SUM(Q165:Q184)</f>
        <v>0</v>
      </c>
    </row>
    <row r="187" spans="1:17" x14ac:dyDescent="0.3">
      <c r="A187" s="34" t="s">
        <v>256</v>
      </c>
      <c r="B187" s="130" t="s">
        <v>257</v>
      </c>
      <c r="C187" s="130"/>
      <c r="D187" s="130"/>
      <c r="E187" s="130"/>
      <c r="F187" s="130"/>
    </row>
    <row r="189" spans="1:17" x14ac:dyDescent="0.3">
      <c r="F189" s="117" t="s">
        <v>258</v>
      </c>
      <c r="G189" s="117"/>
      <c r="H189" s="117"/>
      <c r="I189" s="117"/>
      <c r="J189" s="117" t="s">
        <v>259</v>
      </c>
      <c r="K189" s="117"/>
      <c r="L189" s="117"/>
      <c r="M189" s="117"/>
      <c r="N189" s="117"/>
      <c r="O189" s="117" t="s">
        <v>260</v>
      </c>
      <c r="P189" s="117"/>
      <c r="Q189" s="117"/>
    </row>
    <row r="190" spans="1:17" ht="21.45" customHeight="1" x14ac:dyDescent="0.3">
      <c r="B190" s="116" t="s">
        <v>5</v>
      </c>
      <c r="C190" s="116"/>
      <c r="D190" s="116"/>
      <c r="E190" s="116" t="s">
        <v>72</v>
      </c>
      <c r="F190" s="37" t="s">
        <v>7</v>
      </c>
      <c r="G190" s="9" t="s">
        <v>6</v>
      </c>
      <c r="H190" s="9" t="s">
        <v>9</v>
      </c>
      <c r="I190" s="9" t="s">
        <v>12</v>
      </c>
      <c r="J190" s="9" t="s">
        <v>7</v>
      </c>
      <c r="K190" s="9" t="s">
        <v>9</v>
      </c>
      <c r="L190" s="9" t="s">
        <v>6</v>
      </c>
      <c r="M190" s="9" t="s">
        <v>12</v>
      </c>
      <c r="N190" s="23" t="s">
        <v>143</v>
      </c>
      <c r="O190" s="9" t="s">
        <v>7</v>
      </c>
      <c r="P190" s="9" t="s">
        <v>8</v>
      </c>
      <c r="Q190" s="9" t="s">
        <v>6</v>
      </c>
    </row>
    <row r="191" spans="1:17" x14ac:dyDescent="0.3">
      <c r="B191" s="116"/>
      <c r="C191" s="116"/>
      <c r="D191" s="116"/>
      <c r="E191" s="116"/>
      <c r="F191" s="24" t="s">
        <v>13</v>
      </c>
      <c r="G191" s="17" t="s">
        <v>13</v>
      </c>
      <c r="H191" s="17" t="s">
        <v>13</v>
      </c>
      <c r="I191" s="17" t="s">
        <v>15</v>
      </c>
      <c r="J191" s="17" t="s">
        <v>13</v>
      </c>
      <c r="K191" s="17" t="s">
        <v>13</v>
      </c>
      <c r="L191" s="17" t="s">
        <v>13</v>
      </c>
      <c r="M191" s="17" t="s">
        <v>15</v>
      </c>
      <c r="N191" s="17" t="s">
        <v>146</v>
      </c>
      <c r="O191" s="17" t="s">
        <v>13</v>
      </c>
      <c r="P191" s="17" t="s">
        <v>13</v>
      </c>
      <c r="Q191" s="17" t="s">
        <v>13</v>
      </c>
    </row>
    <row r="192" spans="1:17" x14ac:dyDescent="0.3">
      <c r="B192" s="134">
        <f>'Levantamento Campo'!B8</f>
        <v>0</v>
      </c>
      <c r="C192" s="134"/>
      <c r="D192" s="134"/>
      <c r="E192" s="9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</row>
    <row r="193" spans="2:17" x14ac:dyDescent="0.3">
      <c r="B193" s="134">
        <f>'Levantamento Campo'!B9</f>
        <v>0</v>
      </c>
      <c r="C193" s="134"/>
      <c r="D193" s="134"/>
      <c r="E193" s="9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83"/>
    </row>
    <row r="194" spans="2:17" x14ac:dyDescent="0.3">
      <c r="B194" s="134">
        <f>'Levantamento Campo'!B10</f>
        <v>0</v>
      </c>
      <c r="C194" s="134"/>
      <c r="D194" s="134"/>
      <c r="E194" s="9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83"/>
    </row>
    <row r="195" spans="2:17" x14ac:dyDescent="0.3">
      <c r="B195" s="134">
        <f>'Levantamento Campo'!B11</f>
        <v>0</v>
      </c>
      <c r="C195" s="134"/>
      <c r="D195" s="134"/>
      <c r="E195" s="9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81"/>
    </row>
    <row r="196" spans="2:17" x14ac:dyDescent="0.3">
      <c r="B196" s="134">
        <f>'Levantamento Campo'!B12</f>
        <v>0</v>
      </c>
      <c r="C196" s="134"/>
      <c r="D196" s="134"/>
      <c r="E196" s="9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81"/>
    </row>
    <row r="197" spans="2:17" x14ac:dyDescent="0.3">
      <c r="B197" s="134">
        <f>'Levantamento Campo'!B13</f>
        <v>0</v>
      </c>
      <c r="C197" s="134"/>
      <c r="D197" s="134"/>
      <c r="E197" s="9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82"/>
    </row>
    <row r="198" spans="2:17" x14ac:dyDescent="0.3">
      <c r="B198" s="134">
        <f>'Levantamento Campo'!B14</f>
        <v>0</v>
      </c>
      <c r="C198" s="134"/>
      <c r="D198" s="134"/>
      <c r="E198" s="9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81"/>
    </row>
    <row r="199" spans="2:17" x14ac:dyDescent="0.3">
      <c r="B199" s="134">
        <f>'Levantamento Campo'!B15</f>
        <v>0</v>
      </c>
      <c r="C199" s="134"/>
      <c r="D199" s="134"/>
      <c r="E199" s="9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81"/>
    </row>
    <row r="200" spans="2:17" x14ac:dyDescent="0.3">
      <c r="B200" s="134">
        <f>'Levantamento Campo'!B16</f>
        <v>0</v>
      </c>
      <c r="C200" s="134"/>
      <c r="D200" s="134"/>
      <c r="E200" s="9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72"/>
    </row>
    <row r="201" spans="2:17" x14ac:dyDescent="0.3">
      <c r="B201" s="134">
        <f>'Levantamento Campo'!B17</f>
        <v>0</v>
      </c>
      <c r="C201" s="134"/>
      <c r="D201" s="134"/>
      <c r="E201" s="9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</row>
    <row r="202" spans="2:17" x14ac:dyDescent="0.3">
      <c r="B202" s="134">
        <f>'Levantamento Campo'!B18</f>
        <v>0</v>
      </c>
      <c r="C202" s="134"/>
      <c r="D202" s="134"/>
      <c r="E202" s="9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</row>
    <row r="203" spans="2:17" x14ac:dyDescent="0.3">
      <c r="B203" s="134">
        <f>'Levantamento Campo'!B19</f>
        <v>0</v>
      </c>
      <c r="C203" s="134"/>
      <c r="D203" s="134"/>
      <c r="E203" s="9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</row>
    <row r="204" spans="2:17" x14ac:dyDescent="0.3">
      <c r="B204" s="134">
        <f>'Levantamento Campo'!B20</f>
        <v>0</v>
      </c>
      <c r="C204" s="134"/>
      <c r="D204" s="134"/>
      <c r="E204" s="9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</row>
    <row r="205" spans="2:17" x14ac:dyDescent="0.3">
      <c r="B205" s="134">
        <f>'Levantamento Campo'!B21</f>
        <v>0</v>
      </c>
      <c r="C205" s="134"/>
      <c r="D205" s="134"/>
      <c r="E205" s="9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</row>
    <row r="206" spans="2:17" x14ac:dyDescent="0.3">
      <c r="B206" s="134">
        <f>'Levantamento Campo'!B22</f>
        <v>0</v>
      </c>
      <c r="C206" s="134"/>
      <c r="D206" s="134"/>
      <c r="E206" s="9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</row>
    <row r="207" spans="2:17" x14ac:dyDescent="0.3">
      <c r="B207" s="134">
        <f>'Levantamento Campo'!B23</f>
        <v>0</v>
      </c>
      <c r="C207" s="134"/>
      <c r="D207" s="134"/>
      <c r="E207" s="9"/>
      <c r="F207" s="63"/>
      <c r="G207" s="63"/>
      <c r="H207" s="63"/>
      <c r="I207" s="63"/>
      <c r="J207" s="83"/>
      <c r="K207" s="72"/>
      <c r="L207" s="63"/>
      <c r="M207" s="63"/>
      <c r="N207" s="63"/>
      <c r="O207" s="63"/>
      <c r="P207" s="63"/>
      <c r="Q207" s="63"/>
    </row>
    <row r="208" spans="2:17" x14ac:dyDescent="0.3">
      <c r="B208" s="134">
        <f>'Levantamento Campo'!B83</f>
        <v>0</v>
      </c>
      <c r="C208" s="134"/>
      <c r="D208" s="134"/>
      <c r="E208" s="9"/>
      <c r="F208" s="63"/>
      <c r="G208" s="63"/>
      <c r="H208" s="63"/>
      <c r="I208" s="63"/>
      <c r="J208" s="83"/>
      <c r="K208" s="72"/>
      <c r="L208" s="63"/>
      <c r="M208" s="63"/>
      <c r="N208" s="63"/>
      <c r="O208" s="63"/>
      <c r="P208" s="63"/>
      <c r="Q208" s="63"/>
    </row>
    <row r="209" spans="1:17" x14ac:dyDescent="0.3">
      <c r="B209" s="134">
        <f>'Levantamento Campo'!B84</f>
        <v>0</v>
      </c>
      <c r="C209" s="134"/>
      <c r="D209" s="134"/>
      <c r="E209" s="9"/>
      <c r="F209" s="63"/>
      <c r="G209" s="63"/>
      <c r="H209" s="63"/>
      <c r="I209" s="63"/>
      <c r="J209" s="68"/>
      <c r="K209" s="72"/>
      <c r="L209" s="63"/>
      <c r="M209" s="63"/>
      <c r="N209" s="63"/>
      <c r="O209" s="63"/>
      <c r="P209" s="63"/>
      <c r="Q209" s="63"/>
    </row>
    <row r="210" spans="1:17" x14ac:dyDescent="0.3">
      <c r="B210" s="134">
        <f>'Levantamento Campo'!B85</f>
        <v>0</v>
      </c>
      <c r="C210" s="134"/>
      <c r="D210" s="134"/>
      <c r="E210" s="82"/>
      <c r="F210" s="63"/>
      <c r="G210" s="63"/>
      <c r="H210" s="63"/>
      <c r="I210" s="63"/>
      <c r="J210" s="68"/>
      <c r="K210" s="72"/>
      <c r="L210" s="63"/>
      <c r="M210" s="63"/>
      <c r="N210" s="63"/>
      <c r="O210" s="63"/>
      <c r="P210" s="63"/>
      <c r="Q210" s="63"/>
    </row>
    <row r="211" spans="1:17" x14ac:dyDescent="0.3">
      <c r="B211" s="134">
        <f>'Levantamento Campo'!B108</f>
        <v>0</v>
      </c>
      <c r="C211" s="134"/>
      <c r="D211" s="134"/>
      <c r="E211" s="82"/>
      <c r="F211" s="63"/>
      <c r="G211" s="63"/>
      <c r="H211" s="63"/>
      <c r="I211" s="63"/>
      <c r="J211" s="68"/>
      <c r="K211" s="72"/>
      <c r="L211" s="63"/>
      <c r="M211" s="63"/>
      <c r="N211" s="63"/>
      <c r="O211" s="63"/>
      <c r="P211" s="63"/>
      <c r="Q211" s="63"/>
    </row>
    <row r="213" spans="1:17" x14ac:dyDescent="0.3">
      <c r="A213" s="34" t="s">
        <v>261</v>
      </c>
      <c r="B213" s="130" t="s">
        <v>260</v>
      </c>
      <c r="C213" s="130"/>
      <c r="D213" s="130"/>
      <c r="E213" s="130"/>
      <c r="F213" s="130"/>
    </row>
    <row r="215" spans="1:17" x14ac:dyDescent="0.3">
      <c r="F215" s="117" t="s">
        <v>260</v>
      </c>
      <c r="G215" s="117"/>
      <c r="H215" s="117"/>
      <c r="I215" s="3"/>
      <c r="J215" s="154"/>
      <c r="K215" s="154"/>
      <c r="L215" s="154"/>
      <c r="M215" s="154"/>
      <c r="N215" s="154"/>
      <c r="O215" s="154"/>
      <c r="P215" s="154"/>
      <c r="Q215" s="154"/>
    </row>
    <row r="216" spans="1:17" ht="14.1" customHeight="1" x14ac:dyDescent="0.3">
      <c r="B216" s="116" t="s">
        <v>5</v>
      </c>
      <c r="C216" s="116"/>
      <c r="D216" s="116"/>
      <c r="E216" s="116" t="s">
        <v>72</v>
      </c>
      <c r="F216" s="9" t="s">
        <v>7</v>
      </c>
      <c r="G216" s="9" t="s">
        <v>8</v>
      </c>
      <c r="H216" s="9" t="s">
        <v>6</v>
      </c>
      <c r="I216" s="15"/>
      <c r="J216" s="15"/>
      <c r="K216" s="15"/>
      <c r="L216" s="15"/>
      <c r="M216" s="15"/>
      <c r="N216" s="94"/>
      <c r="O216" s="15"/>
      <c r="P216" s="15"/>
      <c r="Q216" s="15"/>
    </row>
    <row r="217" spans="1:17" x14ac:dyDescent="0.3">
      <c r="B217" s="116"/>
      <c r="C217" s="116"/>
      <c r="D217" s="116"/>
      <c r="E217" s="116"/>
      <c r="F217" s="17" t="s">
        <v>13</v>
      </c>
      <c r="G217" s="17" t="s">
        <v>13</v>
      </c>
      <c r="H217" s="17" t="s">
        <v>13</v>
      </c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1:17" x14ac:dyDescent="0.3">
      <c r="B218" s="134">
        <f>'Levantamento Campo'!B8</f>
        <v>0</v>
      </c>
      <c r="C218" s="134"/>
      <c r="D218" s="134"/>
      <c r="E218" s="9"/>
      <c r="F218" s="63"/>
      <c r="G218" s="63"/>
      <c r="H218" s="63"/>
    </row>
    <row r="219" spans="1:17" x14ac:dyDescent="0.3">
      <c r="B219" s="134">
        <f>'Levantamento Campo'!B9</f>
        <v>0</v>
      </c>
      <c r="C219" s="134"/>
      <c r="D219" s="134"/>
      <c r="E219" s="9"/>
      <c r="F219" s="63"/>
      <c r="G219" s="63"/>
      <c r="H219" s="83"/>
      <c r="Q219" s="14"/>
    </row>
    <row r="220" spans="1:17" x14ac:dyDescent="0.3">
      <c r="B220" s="134">
        <f>'Levantamento Campo'!B10</f>
        <v>0</v>
      </c>
      <c r="C220" s="134"/>
      <c r="D220" s="134"/>
      <c r="E220" s="9"/>
      <c r="F220" s="63"/>
      <c r="G220" s="63"/>
      <c r="H220" s="83"/>
      <c r="Q220" s="14"/>
    </row>
    <row r="221" spans="1:17" x14ac:dyDescent="0.3">
      <c r="B221" s="134">
        <f>'Levantamento Campo'!B11</f>
        <v>0</v>
      </c>
      <c r="C221" s="134"/>
      <c r="D221" s="134"/>
      <c r="E221" s="9"/>
      <c r="F221" s="63"/>
      <c r="G221" s="63"/>
      <c r="H221" s="81"/>
      <c r="Q221" s="95"/>
    </row>
    <row r="222" spans="1:17" x14ac:dyDescent="0.3">
      <c r="B222" s="134">
        <f>'Levantamento Campo'!B12</f>
        <v>0</v>
      </c>
      <c r="C222" s="134"/>
      <c r="D222" s="134"/>
      <c r="E222" s="9"/>
      <c r="F222" s="63"/>
      <c r="G222" s="63"/>
      <c r="H222" s="81"/>
      <c r="Q222" s="95"/>
    </row>
    <row r="223" spans="1:17" x14ac:dyDescent="0.3">
      <c r="B223" s="134">
        <f>'Levantamento Campo'!B13</f>
        <v>0</v>
      </c>
      <c r="C223" s="134"/>
      <c r="D223" s="134"/>
      <c r="E223" s="9"/>
      <c r="F223" s="63"/>
      <c r="G223" s="63"/>
      <c r="H223" s="82"/>
      <c r="Q223" s="96"/>
    </row>
    <row r="224" spans="1:17" x14ac:dyDescent="0.3">
      <c r="B224" s="134">
        <f>'Levantamento Campo'!B14</f>
        <v>0</v>
      </c>
      <c r="C224" s="134"/>
      <c r="D224" s="134"/>
      <c r="E224" s="9"/>
      <c r="F224" s="63"/>
      <c r="G224" s="63"/>
      <c r="H224" s="81"/>
      <c r="Q224" s="95"/>
    </row>
    <row r="225" spans="1:17" x14ac:dyDescent="0.3">
      <c r="B225" s="134">
        <f>'Levantamento Campo'!B15</f>
        <v>0</v>
      </c>
      <c r="C225" s="134"/>
      <c r="D225" s="134"/>
      <c r="E225" s="9"/>
      <c r="F225" s="63"/>
      <c r="G225" s="63"/>
      <c r="H225" s="81"/>
      <c r="Q225" s="95"/>
    </row>
    <row r="226" spans="1:17" x14ac:dyDescent="0.3">
      <c r="B226" s="134">
        <f>'Levantamento Campo'!B16</f>
        <v>0</v>
      </c>
      <c r="C226" s="134"/>
      <c r="D226" s="134"/>
      <c r="E226" s="9"/>
      <c r="F226" s="63"/>
      <c r="G226" s="63"/>
      <c r="H226" s="72"/>
      <c r="Q226" s="22"/>
    </row>
    <row r="227" spans="1:17" x14ac:dyDescent="0.3">
      <c r="B227" s="134">
        <f>'Levantamento Campo'!B17</f>
        <v>0</v>
      </c>
      <c r="C227" s="134"/>
      <c r="D227" s="134"/>
      <c r="E227" s="9"/>
      <c r="F227" s="63"/>
      <c r="G227" s="63"/>
      <c r="H227" s="63"/>
    </row>
    <row r="228" spans="1:17" x14ac:dyDescent="0.3">
      <c r="B228" s="134">
        <f>'Levantamento Campo'!B18</f>
        <v>0</v>
      </c>
      <c r="C228" s="134"/>
      <c r="D228" s="134"/>
      <c r="E228" s="9"/>
      <c r="F228" s="63"/>
      <c r="G228" s="63"/>
      <c r="H228" s="63"/>
    </row>
    <row r="229" spans="1:17" x14ac:dyDescent="0.3">
      <c r="B229" s="134">
        <f>'Levantamento Campo'!B19</f>
        <v>0</v>
      </c>
      <c r="C229" s="134"/>
      <c r="D229" s="134"/>
      <c r="E229" s="9"/>
      <c r="F229" s="63"/>
      <c r="G229" s="63"/>
      <c r="H229" s="63"/>
    </row>
    <row r="230" spans="1:17" x14ac:dyDescent="0.3">
      <c r="B230" s="134">
        <f>'Levantamento Campo'!B20</f>
        <v>0</v>
      </c>
      <c r="C230" s="134"/>
      <c r="D230" s="134"/>
      <c r="E230" s="9"/>
      <c r="F230" s="63"/>
      <c r="G230" s="63"/>
      <c r="H230" s="63"/>
    </row>
    <row r="231" spans="1:17" x14ac:dyDescent="0.3">
      <c r="B231" s="134">
        <f>'Levantamento Campo'!B21</f>
        <v>0</v>
      </c>
      <c r="C231" s="134"/>
      <c r="D231" s="134"/>
      <c r="E231" s="9"/>
      <c r="F231" s="63"/>
      <c r="G231" s="63"/>
      <c r="H231" s="63"/>
    </row>
    <row r="232" spans="1:17" x14ac:dyDescent="0.3">
      <c r="B232" s="134">
        <f>'Levantamento Campo'!B22</f>
        <v>0</v>
      </c>
      <c r="C232" s="134"/>
      <c r="D232" s="134"/>
      <c r="E232" s="9"/>
      <c r="F232" s="63"/>
      <c r="G232" s="63"/>
      <c r="H232" s="63"/>
    </row>
    <row r="233" spans="1:17" x14ac:dyDescent="0.3">
      <c r="B233" s="134">
        <f>'Levantamento Campo'!B23</f>
        <v>0</v>
      </c>
      <c r="C233" s="134"/>
      <c r="D233" s="134"/>
      <c r="E233" s="9"/>
      <c r="F233" s="63"/>
      <c r="G233" s="63"/>
      <c r="H233" s="63"/>
      <c r="J233" s="14"/>
      <c r="K233" s="22"/>
    </row>
    <row r="234" spans="1:17" x14ac:dyDescent="0.3">
      <c r="B234" s="134">
        <f>'Levantamento Campo'!B83</f>
        <v>0</v>
      </c>
      <c r="C234" s="134"/>
      <c r="D234" s="134"/>
      <c r="E234" s="9"/>
      <c r="F234" s="63"/>
      <c r="G234" s="63"/>
      <c r="H234" s="63"/>
      <c r="J234" s="14"/>
      <c r="K234" s="22"/>
    </row>
    <row r="235" spans="1:17" x14ac:dyDescent="0.3">
      <c r="B235" s="134">
        <f>'Levantamento Campo'!B84</f>
        <v>0</v>
      </c>
      <c r="C235" s="134"/>
      <c r="D235" s="134"/>
      <c r="E235" s="9"/>
      <c r="F235" s="63"/>
      <c r="G235" s="63"/>
      <c r="H235" s="63"/>
      <c r="J235" s="64"/>
      <c r="K235" s="22"/>
    </row>
    <row r="236" spans="1:17" x14ac:dyDescent="0.3">
      <c r="B236" s="134">
        <f>'Levantamento Campo'!B85</f>
        <v>0</v>
      </c>
      <c r="C236" s="134"/>
      <c r="D236" s="134"/>
      <c r="E236" s="82"/>
      <c r="F236" s="63"/>
      <c r="G236" s="63"/>
      <c r="H236" s="63"/>
      <c r="J236" s="64"/>
      <c r="K236" s="22"/>
    </row>
    <row r="237" spans="1:17" x14ac:dyDescent="0.3">
      <c r="B237" s="134">
        <f>'Levantamento Campo'!B108</f>
        <v>0</v>
      </c>
      <c r="C237" s="134"/>
      <c r="D237" s="134"/>
      <c r="E237" s="82"/>
      <c r="F237" s="63"/>
      <c r="G237" s="63"/>
      <c r="H237" s="63"/>
      <c r="J237" s="64"/>
      <c r="K237" s="22"/>
    </row>
    <row r="239" spans="1:17" x14ac:dyDescent="0.3">
      <c r="A239" s="34" t="s">
        <v>262</v>
      </c>
      <c r="B239" s="130" t="s">
        <v>263</v>
      </c>
      <c r="C239" s="130"/>
      <c r="D239" s="130"/>
    </row>
    <row r="241" spans="2:21" ht="14.1" customHeight="1" x14ac:dyDescent="0.3">
      <c r="B241" s="44"/>
      <c r="C241" s="44"/>
      <c r="D241" s="44"/>
      <c r="E241" s="44"/>
      <c r="F241" s="133" t="s">
        <v>264</v>
      </c>
      <c r="G241" s="133"/>
      <c r="H241" s="133"/>
      <c r="I241" s="133"/>
      <c r="J241" s="133"/>
      <c r="K241" s="133"/>
      <c r="L241" s="116" t="s">
        <v>265</v>
      </c>
      <c r="M241" s="116"/>
      <c r="N241" s="116"/>
      <c r="O241" s="116"/>
      <c r="P241" s="116"/>
      <c r="Q241" s="116" t="s">
        <v>266</v>
      </c>
      <c r="R241" s="116"/>
      <c r="S241" s="116"/>
      <c r="T241" s="116"/>
      <c r="U241" s="116"/>
    </row>
    <row r="242" spans="2:21" ht="14.1" customHeight="1" x14ac:dyDescent="0.3">
      <c r="B242" s="15"/>
      <c r="C242" s="15"/>
      <c r="D242" s="15"/>
      <c r="E242" s="116" t="s">
        <v>72</v>
      </c>
      <c r="F242" s="116" t="s">
        <v>140</v>
      </c>
      <c r="G242" s="116" t="s">
        <v>89</v>
      </c>
      <c r="H242" s="116" t="s">
        <v>141</v>
      </c>
      <c r="I242" s="116"/>
      <c r="J242" s="116"/>
      <c r="K242" s="153" t="s">
        <v>267</v>
      </c>
      <c r="L242" s="116" t="s">
        <v>141</v>
      </c>
      <c r="M242" s="116"/>
      <c r="N242" s="116"/>
      <c r="O242" s="116"/>
      <c r="P242" s="116" t="s">
        <v>267</v>
      </c>
      <c r="Q242" s="116" t="s">
        <v>141</v>
      </c>
      <c r="R242" s="116"/>
      <c r="S242" s="116"/>
      <c r="T242" s="116"/>
      <c r="U242" s="116" t="s">
        <v>267</v>
      </c>
    </row>
    <row r="243" spans="2:21" ht="14.1" customHeight="1" x14ac:dyDescent="0.3">
      <c r="B243" s="116" t="s">
        <v>5</v>
      </c>
      <c r="C243" s="116"/>
      <c r="D243" s="116"/>
      <c r="E243" s="116"/>
      <c r="F243" s="116"/>
      <c r="G243" s="116"/>
      <c r="H243" s="9" t="s">
        <v>6</v>
      </c>
      <c r="I243" s="9" t="s">
        <v>7</v>
      </c>
      <c r="J243" s="9" t="s">
        <v>8</v>
      </c>
      <c r="K243" s="153"/>
      <c r="L243" s="9" t="s">
        <v>6</v>
      </c>
      <c r="M243" s="9" t="s">
        <v>7</v>
      </c>
      <c r="N243" s="9" t="s">
        <v>8</v>
      </c>
      <c r="O243" s="9" t="s">
        <v>268</v>
      </c>
      <c r="P243" s="116"/>
      <c r="Q243" s="9" t="s">
        <v>6</v>
      </c>
      <c r="R243" s="9" t="s">
        <v>7</v>
      </c>
      <c r="S243" s="9" t="s">
        <v>8</v>
      </c>
      <c r="T243" s="9" t="s">
        <v>268</v>
      </c>
      <c r="U243" s="116"/>
    </row>
    <row r="244" spans="2:21" x14ac:dyDescent="0.3">
      <c r="B244" s="116"/>
      <c r="C244" s="116"/>
      <c r="D244" s="116"/>
      <c r="E244" s="116"/>
      <c r="F244" s="116"/>
      <c r="G244" s="116"/>
      <c r="H244" s="17" t="s">
        <v>13</v>
      </c>
      <c r="I244" s="17" t="s">
        <v>13</v>
      </c>
      <c r="J244" s="17" t="s">
        <v>13</v>
      </c>
      <c r="K244" s="69" t="s">
        <v>14</v>
      </c>
      <c r="L244" s="17" t="s">
        <v>13</v>
      </c>
      <c r="M244" s="17" t="s">
        <v>13</v>
      </c>
      <c r="N244" s="17" t="s">
        <v>13</v>
      </c>
      <c r="O244" s="17" t="s">
        <v>13</v>
      </c>
      <c r="P244" s="17" t="s">
        <v>14</v>
      </c>
      <c r="Q244" s="17" t="s">
        <v>13</v>
      </c>
      <c r="R244" s="17" t="s">
        <v>13</v>
      </c>
      <c r="S244" s="17" t="s">
        <v>13</v>
      </c>
      <c r="T244" s="17" t="s">
        <v>13</v>
      </c>
      <c r="U244" s="17" t="s">
        <v>14</v>
      </c>
    </row>
    <row r="245" spans="2:21" x14ac:dyDescent="0.3">
      <c r="B245" s="116"/>
      <c r="C245" s="116"/>
      <c r="D245" s="116"/>
      <c r="E245" s="9"/>
      <c r="F245" s="63"/>
      <c r="G245" s="63"/>
      <c r="H245" s="63"/>
      <c r="I245" s="63"/>
      <c r="J245" s="63"/>
      <c r="K245" s="97"/>
      <c r="L245" s="81"/>
      <c r="M245" s="81"/>
      <c r="N245" s="39"/>
      <c r="O245" s="81"/>
      <c r="P245" s="81"/>
      <c r="Q245" s="81"/>
      <c r="R245" s="81"/>
      <c r="S245" s="39"/>
      <c r="T245" s="81"/>
      <c r="U245" s="81"/>
    </row>
    <row r="246" spans="2:21" x14ac:dyDescent="0.3">
      <c r="B246" s="116"/>
      <c r="C246" s="116"/>
      <c r="D246" s="116"/>
      <c r="E246" s="9"/>
      <c r="F246" s="63"/>
      <c r="G246" s="63"/>
      <c r="H246" s="63"/>
      <c r="I246" s="63"/>
      <c r="J246" s="63"/>
      <c r="K246" s="4"/>
      <c r="L246" s="81"/>
      <c r="M246" s="81"/>
      <c r="N246" s="39"/>
      <c r="O246" s="81"/>
      <c r="P246" s="81"/>
      <c r="Q246" s="81"/>
      <c r="R246" s="81"/>
      <c r="S246" s="39"/>
      <c r="T246" s="81"/>
      <c r="U246" s="81"/>
    </row>
    <row r="247" spans="2:21" x14ac:dyDescent="0.3">
      <c r="B247" s="116"/>
      <c r="C247" s="116"/>
      <c r="D247" s="116"/>
      <c r="E247" s="9"/>
      <c r="F247" s="63"/>
      <c r="G247" s="63"/>
      <c r="H247" s="63"/>
      <c r="I247" s="63"/>
      <c r="J247" s="63"/>
      <c r="K247" s="4"/>
      <c r="L247" s="81"/>
      <c r="M247" s="81"/>
      <c r="N247" s="39"/>
      <c r="O247" s="81"/>
      <c r="P247" s="81"/>
      <c r="Q247" s="81"/>
      <c r="R247" s="81"/>
      <c r="S247" s="39"/>
      <c r="T247" s="81"/>
      <c r="U247" s="81"/>
    </row>
    <row r="248" spans="2:21" x14ac:dyDescent="0.3">
      <c r="B248" s="116"/>
      <c r="C248" s="116"/>
      <c r="D248" s="116"/>
      <c r="E248" s="9"/>
      <c r="F248" s="63"/>
      <c r="G248" s="63"/>
      <c r="H248" s="63"/>
      <c r="I248" s="63"/>
      <c r="J248" s="63"/>
      <c r="K248" s="4"/>
      <c r="L248" s="81"/>
      <c r="M248" s="81"/>
      <c r="N248" s="9"/>
      <c r="O248" s="81"/>
      <c r="P248" s="81"/>
      <c r="Q248" s="81"/>
      <c r="R248" s="81"/>
      <c r="S248" s="9"/>
      <c r="T248" s="81"/>
      <c r="U248" s="81"/>
    </row>
    <row r="249" spans="2:21" x14ac:dyDescent="0.3">
      <c r="B249" s="116"/>
      <c r="C249" s="116"/>
      <c r="D249" s="116"/>
      <c r="E249" s="9"/>
      <c r="F249" s="63"/>
      <c r="G249" s="63"/>
      <c r="H249" s="63"/>
      <c r="I249" s="63"/>
      <c r="J249" s="63"/>
      <c r="K249" s="4"/>
      <c r="L249" s="9"/>
      <c r="M249" s="63"/>
      <c r="N249" s="17"/>
      <c r="O249" s="63"/>
      <c r="P249" s="63"/>
      <c r="Q249" s="9"/>
      <c r="R249" s="63"/>
      <c r="S249" s="17"/>
      <c r="T249" s="63"/>
      <c r="U249" s="63"/>
    </row>
    <row r="250" spans="2:21" x14ac:dyDescent="0.3">
      <c r="B250" s="116"/>
      <c r="C250" s="116"/>
      <c r="D250" s="116"/>
      <c r="E250" s="9"/>
      <c r="F250" s="63"/>
      <c r="G250" s="63"/>
      <c r="H250" s="63"/>
      <c r="I250" s="63"/>
      <c r="J250" s="63"/>
      <c r="K250" s="4"/>
      <c r="L250" s="9"/>
      <c r="M250" s="63"/>
      <c r="N250" s="63"/>
      <c r="O250" s="63"/>
      <c r="P250" s="63"/>
      <c r="Q250" s="9"/>
      <c r="R250" s="63"/>
      <c r="S250" s="63"/>
      <c r="T250" s="63"/>
      <c r="U250" s="63"/>
    </row>
    <row r="251" spans="2:21" x14ac:dyDescent="0.3">
      <c r="B251" s="116"/>
      <c r="C251" s="116"/>
      <c r="D251" s="116"/>
      <c r="E251" s="9"/>
      <c r="F251" s="63"/>
      <c r="G251" s="63"/>
      <c r="H251" s="63"/>
      <c r="I251" s="63"/>
      <c r="J251" s="63"/>
      <c r="K251" s="4"/>
      <c r="L251" s="9"/>
      <c r="M251" s="63"/>
      <c r="N251" s="63"/>
      <c r="O251" s="63"/>
      <c r="P251" s="63"/>
      <c r="Q251" s="9"/>
      <c r="R251" s="63"/>
      <c r="S251" s="63"/>
      <c r="T251" s="63"/>
      <c r="U251" s="63"/>
    </row>
    <row r="252" spans="2:21" x14ac:dyDescent="0.3">
      <c r="B252" s="116"/>
      <c r="C252" s="116"/>
      <c r="D252" s="116"/>
      <c r="E252" s="9"/>
      <c r="F252" s="63"/>
      <c r="G252" s="63"/>
      <c r="H252" s="63"/>
      <c r="I252" s="63"/>
      <c r="J252" s="63"/>
      <c r="K252" s="4"/>
      <c r="L252" s="9"/>
      <c r="M252" s="63"/>
      <c r="N252" s="63"/>
      <c r="O252" s="63"/>
      <c r="P252" s="63"/>
      <c r="Q252" s="9"/>
      <c r="R252" s="63"/>
      <c r="S252" s="63"/>
      <c r="T252" s="63"/>
      <c r="U252" s="63"/>
    </row>
    <row r="253" spans="2:21" x14ac:dyDescent="0.3">
      <c r="B253" s="116"/>
      <c r="C253" s="116"/>
      <c r="D253" s="116"/>
      <c r="E253" s="9"/>
      <c r="F253" s="63"/>
      <c r="G253" s="63"/>
      <c r="H253" s="63"/>
      <c r="I253" s="63"/>
      <c r="J253" s="63"/>
      <c r="K253" s="4"/>
      <c r="L253" s="9"/>
      <c r="M253" s="63"/>
      <c r="N253" s="63"/>
      <c r="O253" s="63"/>
      <c r="P253" s="63"/>
      <c r="Q253" s="9"/>
      <c r="R253" s="63"/>
      <c r="S253" s="63"/>
      <c r="T253" s="63"/>
      <c r="U253" s="63"/>
    </row>
    <row r="254" spans="2:21" x14ac:dyDescent="0.3">
      <c r="B254" s="116"/>
      <c r="C254" s="116"/>
      <c r="D254" s="116"/>
      <c r="E254" s="9"/>
      <c r="F254" s="63"/>
      <c r="G254" s="63"/>
      <c r="H254" s="63"/>
      <c r="I254" s="63"/>
      <c r="J254" s="63"/>
      <c r="K254" s="4"/>
      <c r="L254" s="9"/>
      <c r="M254" s="63"/>
      <c r="N254" s="63"/>
      <c r="O254" s="63"/>
      <c r="P254" s="63"/>
      <c r="Q254" s="9"/>
      <c r="R254" s="63"/>
      <c r="S254" s="63"/>
      <c r="T254" s="63"/>
      <c r="U254" s="63"/>
    </row>
    <row r="255" spans="2:21" x14ac:dyDescent="0.3">
      <c r="B255" s="116"/>
      <c r="C255" s="116"/>
      <c r="D255" s="116"/>
      <c r="E255" s="9"/>
      <c r="F255" s="63"/>
      <c r="G255" s="63"/>
      <c r="H255" s="63"/>
      <c r="I255" s="63"/>
      <c r="J255" s="63"/>
      <c r="K255" s="4"/>
      <c r="L255" s="9"/>
      <c r="M255" s="63"/>
      <c r="N255" s="63"/>
      <c r="O255" s="63"/>
      <c r="P255" s="63"/>
      <c r="Q255" s="9"/>
      <c r="R255" s="63"/>
      <c r="S255" s="63"/>
      <c r="T255" s="63"/>
      <c r="U255" s="63"/>
    </row>
    <row r="256" spans="2:21" x14ac:dyDescent="0.3">
      <c r="B256" s="116"/>
      <c r="C256" s="116"/>
      <c r="D256" s="116"/>
      <c r="E256" s="9"/>
      <c r="F256" s="63"/>
      <c r="G256" s="63"/>
      <c r="H256" s="63"/>
      <c r="I256" s="63"/>
      <c r="J256" s="63"/>
      <c r="K256" s="93"/>
      <c r="L256" s="39"/>
      <c r="M256" s="63"/>
      <c r="N256" s="63"/>
      <c r="O256" s="63"/>
      <c r="P256" s="63"/>
      <c r="Q256" s="39"/>
      <c r="R256" s="63"/>
      <c r="S256" s="63"/>
      <c r="T256" s="63"/>
      <c r="U256" s="63"/>
    </row>
    <row r="257" spans="2:21" x14ac:dyDescent="0.3">
      <c r="B257" s="116"/>
      <c r="C257" s="116"/>
      <c r="D257" s="116"/>
      <c r="E257" s="9"/>
      <c r="F257" s="63"/>
      <c r="G257" s="63"/>
      <c r="H257" s="63"/>
      <c r="I257" s="63"/>
      <c r="J257" s="63"/>
      <c r="K257" s="93"/>
      <c r="L257" s="39"/>
      <c r="M257" s="63"/>
      <c r="N257" s="63"/>
      <c r="O257" s="63"/>
      <c r="P257" s="63"/>
      <c r="Q257" s="39"/>
      <c r="R257" s="63"/>
      <c r="S257" s="63"/>
      <c r="T257" s="63"/>
      <c r="U257" s="63"/>
    </row>
    <row r="258" spans="2:21" x14ac:dyDescent="0.3">
      <c r="B258" s="116"/>
      <c r="C258" s="116"/>
      <c r="D258" s="116"/>
      <c r="E258" s="9"/>
      <c r="F258" s="63"/>
      <c r="G258" s="63"/>
      <c r="H258" s="63"/>
      <c r="I258" s="63"/>
      <c r="J258" s="63"/>
      <c r="K258" s="93"/>
      <c r="L258" s="39"/>
      <c r="M258" s="63"/>
      <c r="N258" s="63"/>
      <c r="O258" s="63"/>
      <c r="P258" s="63"/>
      <c r="Q258" s="39"/>
      <c r="R258" s="63"/>
      <c r="S258" s="63"/>
      <c r="T258" s="63"/>
      <c r="U258" s="63"/>
    </row>
    <row r="259" spans="2:21" x14ac:dyDescent="0.3">
      <c r="B259" s="116"/>
      <c r="C259" s="116"/>
      <c r="D259" s="116"/>
      <c r="E259" s="9"/>
      <c r="F259" s="63"/>
      <c r="G259" s="63"/>
      <c r="H259" s="63"/>
      <c r="I259" s="63"/>
      <c r="J259" s="63"/>
      <c r="K259" s="93"/>
      <c r="L259" s="39"/>
      <c r="M259" s="63"/>
      <c r="N259" s="63"/>
      <c r="O259" s="63"/>
      <c r="P259" s="63"/>
      <c r="Q259" s="39"/>
      <c r="R259" s="63"/>
      <c r="S259" s="63"/>
      <c r="T259" s="63"/>
      <c r="U259" s="63"/>
    </row>
    <row r="260" spans="2:21" x14ac:dyDescent="0.3">
      <c r="B260" s="116"/>
      <c r="C260" s="116"/>
      <c r="D260" s="116"/>
      <c r="E260" s="9"/>
      <c r="F260" s="63"/>
      <c r="G260" s="63"/>
      <c r="H260" s="63"/>
      <c r="I260" s="63"/>
      <c r="J260" s="63"/>
      <c r="K260" s="93"/>
      <c r="L260" s="39"/>
      <c r="M260" s="63"/>
      <c r="N260" s="63"/>
      <c r="O260" s="63"/>
      <c r="P260" s="63"/>
      <c r="Q260" s="39"/>
      <c r="R260" s="63"/>
      <c r="S260" s="63"/>
      <c r="T260" s="63"/>
      <c r="U260" s="63"/>
    </row>
    <row r="261" spans="2:21" x14ac:dyDescent="0.3">
      <c r="B261" s="116"/>
      <c r="C261" s="116"/>
      <c r="D261" s="116"/>
      <c r="E261" s="9"/>
      <c r="F261" s="63"/>
      <c r="G261" s="63"/>
      <c r="H261" s="63"/>
      <c r="I261" s="63"/>
      <c r="J261" s="63"/>
      <c r="K261" s="98"/>
      <c r="L261" s="84"/>
      <c r="M261" s="63"/>
      <c r="N261" s="63"/>
      <c r="O261" s="63"/>
      <c r="P261" s="63"/>
      <c r="Q261" s="84"/>
      <c r="R261" s="63"/>
      <c r="S261" s="63"/>
      <c r="T261" s="63"/>
      <c r="U261" s="63"/>
    </row>
    <row r="262" spans="2:21" x14ac:dyDescent="0.3">
      <c r="B262" s="116"/>
      <c r="C262" s="116"/>
      <c r="D262" s="116"/>
      <c r="E262" s="9"/>
      <c r="F262" s="63"/>
      <c r="G262" s="63"/>
      <c r="H262" s="63"/>
      <c r="I262" s="63"/>
      <c r="J262" s="63"/>
      <c r="K262" s="97"/>
      <c r="L262" s="63"/>
      <c r="M262" s="63"/>
      <c r="N262" s="63"/>
      <c r="O262" s="63"/>
      <c r="P262" s="63"/>
      <c r="Q262" s="63"/>
      <c r="R262" s="63"/>
      <c r="S262" s="63"/>
      <c r="T262" s="63"/>
      <c r="U262" s="63"/>
    </row>
    <row r="263" spans="2:21" x14ac:dyDescent="0.3">
      <c r="B263" s="116"/>
      <c r="C263" s="116"/>
      <c r="D263" s="116"/>
      <c r="E263" s="82"/>
      <c r="F263" s="63"/>
      <c r="G263" s="63"/>
      <c r="H263" s="63"/>
      <c r="I263" s="63"/>
      <c r="J263" s="63"/>
      <c r="K263" s="97"/>
      <c r="L263" s="63"/>
      <c r="M263" s="63"/>
      <c r="N263" s="63"/>
      <c r="O263" s="63"/>
      <c r="P263" s="63"/>
      <c r="Q263" s="63"/>
      <c r="R263" s="63"/>
      <c r="S263" s="63"/>
      <c r="T263" s="63"/>
      <c r="U263" s="63"/>
    </row>
    <row r="264" spans="2:21" x14ac:dyDescent="0.3">
      <c r="B264" s="116"/>
      <c r="C264" s="116"/>
      <c r="D264" s="116"/>
      <c r="E264" s="82"/>
      <c r="F264" s="63"/>
      <c r="G264" s="63"/>
      <c r="H264" s="63"/>
      <c r="I264" s="63"/>
      <c r="J264" s="63"/>
      <c r="K264" s="97"/>
      <c r="L264" s="63"/>
      <c r="M264" s="63"/>
      <c r="N264" s="63"/>
      <c r="O264" s="63"/>
      <c r="P264" s="63"/>
      <c r="Q264" s="63"/>
      <c r="R264" s="63"/>
      <c r="S264" s="63"/>
      <c r="T264" s="63"/>
      <c r="U264" s="63"/>
    </row>
    <row r="265" spans="2:21" x14ac:dyDescent="0.3">
      <c r="B265" s="150" t="s">
        <v>29</v>
      </c>
      <c r="C265" s="150"/>
      <c r="D265" s="150"/>
      <c r="E265" s="150"/>
      <c r="F265" s="150"/>
      <c r="G265" s="150"/>
      <c r="H265" s="150"/>
      <c r="I265" s="150"/>
      <c r="J265" s="150"/>
      <c r="K265" s="35">
        <f>SUM(K245:K264)</f>
        <v>0</v>
      </c>
      <c r="L265" s="35"/>
      <c r="M265" s="35"/>
      <c r="N265" s="35"/>
      <c r="O265" s="35"/>
      <c r="P265" s="35">
        <f>SUM(P245:P264)</f>
        <v>0</v>
      </c>
      <c r="Q265" s="35"/>
      <c r="R265" s="35"/>
      <c r="S265" s="35"/>
      <c r="T265" s="35"/>
      <c r="U265" s="35">
        <f>SUM(U245:U264)</f>
        <v>0</v>
      </c>
    </row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277">
    <mergeCell ref="B1:F1"/>
    <mergeCell ref="B3:D3"/>
    <mergeCell ref="E7:J7"/>
    <mergeCell ref="K7:P7"/>
    <mergeCell ref="Q7:V7"/>
    <mergeCell ref="B8:D9"/>
    <mergeCell ref="E8:E9"/>
    <mergeCell ref="K8:K9"/>
    <mergeCell ref="Q8:Q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I30"/>
    <mergeCell ref="B32:D32"/>
    <mergeCell ref="B34:D35"/>
    <mergeCell ref="E34:E35"/>
    <mergeCell ref="F34:G34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E56"/>
    <mergeCell ref="B58:E58"/>
    <mergeCell ref="E60:I60"/>
    <mergeCell ref="J60:P60"/>
    <mergeCell ref="B61:D62"/>
    <mergeCell ref="E61:E62"/>
    <mergeCell ref="J61:J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G82"/>
    <mergeCell ref="B84:E84"/>
    <mergeCell ref="F86:J86"/>
    <mergeCell ref="K86:M86"/>
    <mergeCell ref="N86:R86"/>
    <mergeCell ref="S86:T86"/>
    <mergeCell ref="U86:V86"/>
    <mergeCell ref="W86:Y86"/>
    <mergeCell ref="B87:D88"/>
    <mergeCell ref="E87:E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10:C110"/>
    <mergeCell ref="B112:D113"/>
    <mergeCell ref="E112:E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5:C135"/>
    <mergeCell ref="E137:E139"/>
    <mergeCell ref="F137:F139"/>
    <mergeCell ref="G137:I137"/>
    <mergeCell ref="J137:L137"/>
    <mergeCell ref="M137:O137"/>
    <mergeCell ref="B138:D139"/>
    <mergeCell ref="J138:J139"/>
    <mergeCell ref="M138:M139"/>
    <mergeCell ref="O138:O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H158"/>
    <mergeCell ref="B160:E160"/>
    <mergeCell ref="F162:H162"/>
    <mergeCell ref="I162:K162"/>
    <mergeCell ref="L162:N162"/>
    <mergeCell ref="O162:Q162"/>
    <mergeCell ref="B163:D164"/>
    <mergeCell ref="E163:E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G185"/>
    <mergeCell ref="B187:F187"/>
    <mergeCell ref="F189:I189"/>
    <mergeCell ref="J189:N189"/>
    <mergeCell ref="O189:Q189"/>
    <mergeCell ref="B190:D191"/>
    <mergeCell ref="E190:E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3:F213"/>
    <mergeCell ref="F215:H215"/>
    <mergeCell ref="J215:N215"/>
    <mergeCell ref="O215:Q215"/>
    <mergeCell ref="B216:D217"/>
    <mergeCell ref="E216:E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9:D239"/>
    <mergeCell ref="F241:K241"/>
    <mergeCell ref="L241:P241"/>
    <mergeCell ref="Q241:U241"/>
    <mergeCell ref="E242:E244"/>
    <mergeCell ref="F242:F244"/>
    <mergeCell ref="G242:G244"/>
    <mergeCell ref="H242:J242"/>
    <mergeCell ref="K242:K243"/>
    <mergeCell ref="L242:O242"/>
    <mergeCell ref="P242:P243"/>
    <mergeCell ref="Q242:T242"/>
    <mergeCell ref="U242:U243"/>
    <mergeCell ref="B243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62:D262"/>
    <mergeCell ref="B263:D263"/>
    <mergeCell ref="B264:D264"/>
    <mergeCell ref="B265:J265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O1048576"/>
  <sheetViews>
    <sheetView topLeftCell="A97" zoomScale="160" zoomScaleNormal="160" workbookViewId="0">
      <selection activeCell="E108" sqref="E108"/>
    </sheetView>
  </sheetViews>
  <sheetFormatPr defaultColWidth="7.6640625" defaultRowHeight="13.8" x14ac:dyDescent="0.3"/>
  <cols>
    <col min="1" max="16384" width="7.6640625" style="62"/>
  </cols>
  <sheetData>
    <row r="1" spans="2:20" ht="14.1" customHeight="1" x14ac:dyDescent="0.3">
      <c r="B1" s="146" t="str">
        <f>'Levantamento Campo'!B1</f>
        <v>Prj Estande de Tiro (50 m) – 5º BIL (Amv)</v>
      </c>
      <c r="C1" s="146"/>
      <c r="D1" s="146"/>
      <c r="E1" s="146"/>
      <c r="F1" s="146"/>
    </row>
    <row r="2" spans="2:20" ht="14.1" customHeight="1" x14ac:dyDescent="0.3">
      <c r="B2" s="45"/>
    </row>
    <row r="3" spans="2:20" ht="14.1" customHeight="1" x14ac:dyDescent="0.3">
      <c r="B3" s="44"/>
      <c r="C3" s="44"/>
      <c r="D3" s="44"/>
    </row>
    <row r="4" spans="2:20" ht="14.1" customHeight="1" x14ac:dyDescent="0.3">
      <c r="C4" s="3"/>
      <c r="E4" s="117" t="s">
        <v>265</v>
      </c>
      <c r="F4" s="117"/>
      <c r="G4" s="117"/>
      <c r="H4" s="117"/>
      <c r="I4" s="117"/>
      <c r="J4" s="117"/>
      <c r="K4" s="117"/>
      <c r="L4" s="117" t="s">
        <v>269</v>
      </c>
      <c r="M4" s="117"/>
      <c r="N4" s="117"/>
      <c r="O4" s="117"/>
      <c r="P4" s="117" t="s">
        <v>270</v>
      </c>
      <c r="Q4" s="117"/>
      <c r="R4" s="117"/>
      <c r="S4" s="117"/>
      <c r="T4" s="117"/>
    </row>
    <row r="5" spans="2:20" ht="14.1" customHeight="1" x14ac:dyDescent="0.3">
      <c r="B5" s="15"/>
      <c r="C5" s="15"/>
      <c r="D5" s="15"/>
      <c r="E5" s="116" t="s">
        <v>11</v>
      </c>
      <c r="F5" s="116" t="s">
        <v>2</v>
      </c>
      <c r="G5" s="116"/>
      <c r="H5" s="116"/>
      <c r="I5" s="116"/>
      <c r="J5" s="116" t="s">
        <v>271</v>
      </c>
      <c r="K5" s="116"/>
      <c r="L5" s="116" t="s">
        <v>11</v>
      </c>
      <c r="M5" s="116" t="s">
        <v>2</v>
      </c>
      <c r="N5" s="116"/>
      <c r="O5" s="116"/>
      <c r="P5" s="116" t="s">
        <v>11</v>
      </c>
      <c r="Q5" s="116" t="s">
        <v>2</v>
      </c>
      <c r="R5" s="116"/>
      <c r="S5" s="116"/>
      <c r="T5" s="116"/>
    </row>
    <row r="6" spans="2:20" ht="14.1" customHeight="1" x14ac:dyDescent="0.3">
      <c r="B6" s="116" t="s">
        <v>5</v>
      </c>
      <c r="C6" s="116"/>
      <c r="D6" s="116"/>
      <c r="E6" s="116"/>
      <c r="F6" s="9" t="s">
        <v>9</v>
      </c>
      <c r="G6" s="9" t="s">
        <v>6</v>
      </c>
      <c r="H6" s="9" t="s">
        <v>7</v>
      </c>
      <c r="I6" s="9" t="s">
        <v>10</v>
      </c>
      <c r="J6" s="9" t="s">
        <v>6</v>
      </c>
      <c r="K6" s="9" t="s">
        <v>7</v>
      </c>
      <c r="L6" s="116"/>
      <c r="M6" s="9" t="s">
        <v>9</v>
      </c>
      <c r="N6" s="9" t="s">
        <v>6</v>
      </c>
      <c r="O6" s="9" t="s">
        <v>7</v>
      </c>
      <c r="P6" s="116"/>
      <c r="Q6" s="9" t="s">
        <v>8</v>
      </c>
      <c r="R6" s="9" t="s">
        <v>6</v>
      </c>
      <c r="S6" s="9" t="s">
        <v>7</v>
      </c>
      <c r="T6" s="9" t="s">
        <v>10</v>
      </c>
    </row>
    <row r="7" spans="2:20" ht="14.1" customHeight="1" x14ac:dyDescent="0.3">
      <c r="B7" s="116"/>
      <c r="C7" s="116"/>
      <c r="D7" s="116"/>
      <c r="E7" s="116"/>
      <c r="F7" s="17" t="s">
        <v>13</v>
      </c>
      <c r="G7" s="17" t="s">
        <v>13</v>
      </c>
      <c r="H7" s="17" t="s">
        <v>13</v>
      </c>
      <c r="I7" s="17" t="s">
        <v>14</v>
      </c>
      <c r="J7" s="17" t="s">
        <v>13</v>
      </c>
      <c r="K7" s="17" t="s">
        <v>13</v>
      </c>
      <c r="L7" s="116"/>
      <c r="M7" s="17" t="s">
        <v>13</v>
      </c>
      <c r="N7" s="17" t="s">
        <v>13</v>
      </c>
      <c r="O7" s="17" t="s">
        <v>13</v>
      </c>
      <c r="P7" s="116"/>
      <c r="Q7" s="17" t="s">
        <v>13</v>
      </c>
      <c r="R7" s="17" t="s">
        <v>13</v>
      </c>
      <c r="S7" s="17" t="s">
        <v>13</v>
      </c>
      <c r="T7" s="17" t="s">
        <v>14</v>
      </c>
    </row>
    <row r="8" spans="2:20" ht="14.1" customHeight="1" x14ac:dyDescent="0.3">
      <c r="B8" s="116"/>
      <c r="C8" s="116"/>
      <c r="D8" s="116"/>
      <c r="E8" s="9"/>
      <c r="F8" s="72"/>
      <c r="G8" s="72"/>
      <c r="H8" s="72"/>
      <c r="I8" s="72"/>
      <c r="J8" s="17"/>
      <c r="K8" s="17"/>
      <c r="L8" s="83"/>
      <c r="M8" s="83"/>
      <c r="N8" s="83"/>
      <c r="O8" s="63"/>
      <c r="P8" s="63"/>
      <c r="Q8" s="63"/>
      <c r="R8" s="63"/>
      <c r="S8" s="63"/>
      <c r="T8" s="63"/>
    </row>
    <row r="9" spans="2:20" ht="14.1" customHeight="1" x14ac:dyDescent="0.3">
      <c r="B9" s="116"/>
      <c r="C9" s="116"/>
      <c r="D9" s="116"/>
      <c r="E9" s="9"/>
      <c r="F9" s="72"/>
      <c r="G9" s="72"/>
      <c r="H9" s="72"/>
      <c r="I9" s="72"/>
      <c r="J9" s="17"/>
      <c r="K9" s="17"/>
      <c r="L9" s="83"/>
      <c r="M9" s="83"/>
      <c r="N9" s="83"/>
      <c r="O9" s="63"/>
      <c r="P9" s="63"/>
      <c r="Q9" s="63"/>
      <c r="R9" s="63"/>
      <c r="S9" s="63"/>
      <c r="T9" s="63"/>
    </row>
    <row r="10" spans="2:20" ht="14.1" customHeight="1" x14ac:dyDescent="0.3">
      <c r="B10" s="116"/>
      <c r="C10" s="116"/>
      <c r="D10" s="116"/>
      <c r="E10" s="9"/>
      <c r="F10" s="72"/>
      <c r="G10" s="72"/>
      <c r="H10" s="72"/>
      <c r="I10" s="72"/>
      <c r="J10" s="17"/>
      <c r="K10" s="17"/>
      <c r="L10" s="83"/>
      <c r="M10" s="83"/>
      <c r="N10" s="83"/>
      <c r="O10" s="63"/>
      <c r="P10" s="63"/>
      <c r="Q10" s="63"/>
      <c r="R10" s="63"/>
      <c r="S10" s="63"/>
      <c r="T10" s="63"/>
    </row>
    <row r="11" spans="2:20" ht="14.1" customHeight="1" x14ac:dyDescent="0.3">
      <c r="B11" s="116"/>
      <c r="C11" s="116"/>
      <c r="D11" s="116"/>
      <c r="E11" s="9"/>
      <c r="F11" s="72"/>
      <c r="G11" s="72"/>
      <c r="H11" s="72"/>
      <c r="I11" s="72"/>
      <c r="J11" s="17"/>
      <c r="K11" s="17"/>
      <c r="L11" s="83"/>
      <c r="M11" s="83"/>
      <c r="N11" s="83"/>
      <c r="O11" s="63"/>
      <c r="P11" s="63"/>
      <c r="Q11" s="63"/>
      <c r="R11" s="63"/>
      <c r="S11" s="63"/>
      <c r="T11" s="63"/>
    </row>
    <row r="12" spans="2:20" ht="14.1" customHeight="1" x14ac:dyDescent="0.3">
      <c r="B12" s="116"/>
      <c r="C12" s="116"/>
      <c r="D12" s="116"/>
      <c r="E12" s="9"/>
      <c r="F12" s="72"/>
      <c r="G12" s="72"/>
      <c r="H12" s="72"/>
      <c r="I12" s="72"/>
      <c r="J12" s="17"/>
      <c r="K12" s="17"/>
      <c r="L12" s="83"/>
      <c r="M12" s="83"/>
      <c r="N12" s="83"/>
      <c r="O12" s="63"/>
      <c r="P12" s="63"/>
      <c r="Q12" s="63"/>
      <c r="R12" s="63"/>
      <c r="S12" s="63"/>
      <c r="T12" s="63"/>
    </row>
    <row r="13" spans="2:20" ht="14.1" customHeight="1" x14ac:dyDescent="0.3">
      <c r="B13" s="116"/>
      <c r="C13" s="116"/>
      <c r="D13" s="116"/>
      <c r="E13" s="9"/>
      <c r="F13" s="72"/>
      <c r="G13" s="72"/>
      <c r="H13" s="72"/>
      <c r="I13" s="72"/>
      <c r="J13" s="17"/>
      <c r="K13" s="17"/>
      <c r="L13" s="83"/>
      <c r="M13" s="83"/>
      <c r="N13" s="83"/>
      <c r="O13" s="63"/>
      <c r="P13" s="63"/>
      <c r="Q13" s="63"/>
      <c r="R13" s="63"/>
      <c r="S13" s="63"/>
      <c r="T13" s="63"/>
    </row>
    <row r="14" spans="2:20" ht="14.1" customHeight="1" x14ac:dyDescent="0.3">
      <c r="B14" s="116"/>
      <c r="C14" s="116"/>
      <c r="D14" s="116"/>
      <c r="E14" s="9"/>
      <c r="F14" s="72"/>
      <c r="G14" s="72"/>
      <c r="H14" s="72"/>
      <c r="I14" s="72"/>
      <c r="J14" s="17"/>
      <c r="K14" s="17"/>
      <c r="L14" s="83"/>
      <c r="M14" s="83"/>
      <c r="N14" s="83"/>
      <c r="O14" s="63"/>
      <c r="P14" s="63"/>
      <c r="Q14" s="63"/>
      <c r="R14" s="63"/>
      <c r="S14" s="63"/>
      <c r="T14" s="63"/>
    </row>
    <row r="15" spans="2:20" ht="14.1" customHeight="1" x14ac:dyDescent="0.3">
      <c r="B15" s="116"/>
      <c r="C15" s="116"/>
      <c r="D15" s="116"/>
      <c r="E15" s="9"/>
      <c r="F15" s="72"/>
      <c r="G15" s="72"/>
      <c r="H15" s="72"/>
      <c r="I15" s="72"/>
      <c r="J15" s="17"/>
      <c r="K15" s="17"/>
      <c r="L15" s="83"/>
      <c r="M15" s="83"/>
      <c r="N15" s="83"/>
      <c r="O15" s="63"/>
      <c r="P15" s="63"/>
      <c r="Q15" s="63"/>
      <c r="R15" s="63"/>
      <c r="S15" s="63"/>
      <c r="T15" s="63"/>
    </row>
    <row r="16" spans="2:20" ht="14.1" customHeight="1" x14ac:dyDescent="0.3">
      <c r="B16" s="116"/>
      <c r="C16" s="116"/>
      <c r="D16" s="116"/>
      <c r="E16" s="82"/>
      <c r="F16" s="79"/>
      <c r="G16" s="79"/>
      <c r="H16" s="79"/>
      <c r="I16" s="79"/>
      <c r="J16" s="39"/>
      <c r="K16" s="39"/>
      <c r="L16" s="39"/>
      <c r="M16" s="68"/>
      <c r="N16" s="68"/>
      <c r="O16" s="63"/>
      <c r="P16" s="63"/>
      <c r="Q16" s="63"/>
      <c r="R16" s="63"/>
      <c r="S16" s="63"/>
      <c r="T16" s="63"/>
    </row>
    <row r="17" spans="2:21" ht="14.1" customHeight="1" x14ac:dyDescent="0.3">
      <c r="B17" s="116"/>
      <c r="C17" s="116"/>
      <c r="D17" s="116"/>
      <c r="E17" s="82"/>
      <c r="F17" s="79"/>
      <c r="G17" s="79"/>
      <c r="H17" s="79"/>
      <c r="I17" s="79"/>
      <c r="J17" s="79"/>
      <c r="K17" s="79"/>
      <c r="L17" s="39"/>
      <c r="M17" s="68"/>
      <c r="N17" s="39"/>
      <c r="O17" s="63"/>
      <c r="P17" s="63"/>
      <c r="Q17" s="63"/>
      <c r="R17" s="63"/>
      <c r="S17" s="63"/>
      <c r="T17" s="63"/>
    </row>
    <row r="18" spans="2:21" ht="14.1" customHeight="1" x14ac:dyDescent="0.3">
      <c r="B18" s="116"/>
      <c r="C18" s="116"/>
      <c r="D18" s="116"/>
      <c r="E18" s="82"/>
      <c r="F18" s="79"/>
      <c r="G18" s="79"/>
      <c r="H18" s="79"/>
      <c r="I18" s="79"/>
      <c r="J18" s="39"/>
      <c r="K18" s="39"/>
      <c r="L18" s="39"/>
      <c r="M18" s="68"/>
      <c r="N18" s="68"/>
      <c r="O18" s="63"/>
      <c r="P18" s="63"/>
      <c r="Q18" s="63"/>
      <c r="R18" s="63"/>
      <c r="S18" s="63"/>
      <c r="T18" s="63"/>
    </row>
    <row r="19" spans="2:21" ht="14.1" customHeight="1" x14ac:dyDescent="0.3">
      <c r="B19" s="116"/>
      <c r="C19" s="116"/>
      <c r="D19" s="116"/>
      <c r="E19" s="82"/>
      <c r="F19" s="79"/>
      <c r="G19" s="79"/>
      <c r="H19" s="79"/>
      <c r="I19" s="79"/>
      <c r="J19" s="39"/>
      <c r="K19" s="39"/>
      <c r="L19" s="39"/>
      <c r="M19" s="68"/>
      <c r="N19" s="68"/>
      <c r="O19" s="63"/>
      <c r="P19" s="63"/>
      <c r="Q19" s="63"/>
      <c r="R19" s="63"/>
      <c r="S19" s="63"/>
      <c r="T19" s="63"/>
    </row>
    <row r="20" spans="2:21" ht="14.1" customHeight="1" x14ac:dyDescent="0.3">
      <c r="B20" s="116"/>
      <c r="C20" s="116"/>
      <c r="D20" s="116"/>
      <c r="E20" s="82"/>
      <c r="F20" s="79"/>
      <c r="G20" s="79"/>
      <c r="H20" s="79"/>
      <c r="I20" s="79"/>
      <c r="J20" s="39"/>
      <c r="K20" s="39"/>
      <c r="L20" s="39"/>
      <c r="M20" s="68"/>
      <c r="N20" s="68"/>
      <c r="O20" s="63"/>
      <c r="P20" s="63"/>
      <c r="Q20" s="63"/>
      <c r="R20" s="63"/>
      <c r="S20" s="63"/>
      <c r="T20" s="63"/>
    </row>
    <row r="21" spans="2:21" ht="14.1" customHeight="1" x14ac:dyDescent="0.3">
      <c r="B21" s="116"/>
      <c r="C21" s="116"/>
      <c r="D21" s="116"/>
      <c r="E21" s="82"/>
      <c r="F21" s="79"/>
      <c r="G21" s="79"/>
      <c r="H21" s="79"/>
      <c r="I21" s="79"/>
      <c r="J21" s="39"/>
      <c r="K21" s="39"/>
      <c r="L21" s="39"/>
      <c r="M21" s="68"/>
      <c r="N21" s="68"/>
      <c r="O21" s="63"/>
      <c r="P21" s="63"/>
      <c r="Q21" s="63"/>
      <c r="R21" s="63"/>
      <c r="S21" s="63"/>
      <c r="T21" s="63"/>
    </row>
    <row r="22" spans="2:21" ht="14.1" customHeight="1" x14ac:dyDescent="0.3">
      <c r="B22" s="116"/>
      <c r="C22" s="116"/>
      <c r="D22" s="116"/>
      <c r="E22" s="82"/>
      <c r="F22" s="79"/>
      <c r="G22" s="79"/>
      <c r="H22" s="79"/>
      <c r="I22" s="79"/>
      <c r="J22" s="39"/>
      <c r="K22" s="39"/>
      <c r="L22" s="39"/>
      <c r="M22" s="68"/>
      <c r="N22" s="68"/>
      <c r="O22" s="63"/>
      <c r="P22" s="63"/>
      <c r="Q22" s="63"/>
      <c r="R22" s="63"/>
      <c r="S22" s="63"/>
      <c r="T22" s="63"/>
    </row>
    <row r="23" spans="2:21" ht="14.1" customHeight="1" x14ac:dyDescent="0.3">
      <c r="B23" s="116"/>
      <c r="C23" s="116"/>
      <c r="D23" s="116"/>
      <c r="E23" s="82"/>
      <c r="F23" s="79"/>
      <c r="G23" s="79"/>
      <c r="H23" s="79"/>
      <c r="I23" s="79"/>
      <c r="J23" s="39"/>
      <c r="K23" s="39"/>
      <c r="L23" s="39"/>
      <c r="M23" s="68"/>
      <c r="N23" s="68"/>
      <c r="O23" s="63"/>
      <c r="P23" s="63"/>
      <c r="Q23" s="63"/>
      <c r="R23" s="63"/>
      <c r="S23" s="63"/>
      <c r="T23" s="63"/>
    </row>
    <row r="24" spans="2:21" ht="14.1" customHeight="1" x14ac:dyDescent="0.3">
      <c r="B24" s="116"/>
      <c r="C24" s="116"/>
      <c r="D24" s="116"/>
      <c r="E24" s="82"/>
      <c r="F24" s="79"/>
      <c r="G24" s="79"/>
      <c r="H24" s="79"/>
      <c r="I24" s="79"/>
      <c r="J24" s="39"/>
      <c r="K24" s="39"/>
      <c r="L24" s="39"/>
      <c r="M24" s="68"/>
      <c r="N24" s="68"/>
      <c r="O24" s="63"/>
      <c r="P24" s="63"/>
      <c r="Q24" s="63"/>
      <c r="R24" s="63"/>
      <c r="S24" s="63"/>
      <c r="T24" s="63"/>
    </row>
    <row r="25" spans="2:21" ht="14.1" customHeight="1" x14ac:dyDescent="0.3">
      <c r="B25" s="116"/>
      <c r="C25" s="116"/>
      <c r="D25" s="116"/>
      <c r="E25" s="82"/>
      <c r="F25" s="79"/>
      <c r="G25" s="79"/>
      <c r="H25" s="79"/>
      <c r="I25" s="79"/>
      <c r="J25" s="39"/>
      <c r="K25" s="39"/>
      <c r="L25" s="39"/>
      <c r="M25" s="68"/>
      <c r="N25" s="68"/>
      <c r="O25" s="63"/>
      <c r="P25" s="63"/>
      <c r="Q25" s="63"/>
      <c r="R25" s="63"/>
      <c r="S25" s="63"/>
      <c r="T25" s="63"/>
    </row>
    <row r="26" spans="2:21" ht="14.1" customHeight="1" x14ac:dyDescent="0.3">
      <c r="B26" s="116"/>
      <c r="C26" s="116"/>
      <c r="D26" s="116"/>
      <c r="E26" s="82"/>
      <c r="F26" s="79"/>
      <c r="G26" s="79"/>
      <c r="H26" s="79"/>
      <c r="I26" s="79"/>
      <c r="J26" s="39"/>
      <c r="K26" s="39"/>
      <c r="L26" s="39"/>
      <c r="M26" s="68"/>
      <c r="N26" s="39"/>
      <c r="O26" s="63"/>
      <c r="P26" s="63"/>
      <c r="Q26" s="63"/>
      <c r="R26" s="63"/>
      <c r="S26" s="63"/>
      <c r="T26" s="63"/>
    </row>
    <row r="27" spans="2:21" ht="14.1" customHeight="1" x14ac:dyDescent="0.3">
      <c r="B27" s="116"/>
      <c r="C27" s="116"/>
      <c r="D27" s="116"/>
      <c r="E27" s="82"/>
      <c r="F27" s="79"/>
      <c r="G27" s="79"/>
      <c r="H27" s="79"/>
      <c r="I27" s="79"/>
      <c r="J27" s="39"/>
      <c r="K27" s="39"/>
      <c r="L27" s="39"/>
      <c r="M27" s="68"/>
      <c r="N27" s="39"/>
      <c r="O27" s="63"/>
      <c r="P27" s="63"/>
      <c r="Q27" s="63"/>
      <c r="R27" s="63"/>
      <c r="S27" s="63"/>
      <c r="T27" s="63"/>
    </row>
    <row r="28" spans="2:21" ht="14.1" customHeight="1" x14ac:dyDescent="0.3">
      <c r="B28" s="132" t="s">
        <v>29</v>
      </c>
      <c r="C28" s="132"/>
      <c r="D28" s="132"/>
      <c r="E28" s="132"/>
      <c r="F28" s="132"/>
      <c r="G28" s="132"/>
      <c r="H28" s="132"/>
      <c r="I28" s="54">
        <f>SUM(I8:I27)</f>
        <v>0</v>
      </c>
      <c r="J28" s="54"/>
      <c r="K28" s="54"/>
      <c r="L28" s="54"/>
      <c r="M28" s="54"/>
      <c r="N28" s="54">
        <f>SUM(N8:N27)</f>
        <v>0</v>
      </c>
      <c r="O28" s="54"/>
      <c r="P28" s="54"/>
      <c r="Q28" s="54"/>
      <c r="R28" s="54">
        <f>SUM(R8:R27)</f>
        <v>0</v>
      </c>
      <c r="S28" s="54"/>
      <c r="T28" s="54"/>
    </row>
    <row r="31" spans="2:21" ht="14.1" customHeight="1" x14ac:dyDescent="0.3">
      <c r="C31" s="57"/>
      <c r="E31" s="133" t="s">
        <v>272</v>
      </c>
      <c r="F31" s="133"/>
      <c r="G31" s="133"/>
      <c r="H31" s="133"/>
      <c r="I31" s="133"/>
      <c r="J31" s="133"/>
      <c r="K31" s="133"/>
      <c r="L31" s="117" t="s">
        <v>273</v>
      </c>
      <c r="M31" s="117"/>
      <c r="N31" s="117"/>
      <c r="O31" s="117"/>
      <c r="P31" s="117" t="s">
        <v>274</v>
      </c>
      <c r="Q31" s="117"/>
      <c r="R31" s="117"/>
      <c r="S31" s="117"/>
      <c r="T31" s="117"/>
      <c r="U31" s="117"/>
    </row>
    <row r="32" spans="2:21" ht="14.1" customHeight="1" x14ac:dyDescent="0.3">
      <c r="B32" s="116" t="s">
        <v>5</v>
      </c>
      <c r="C32" s="116"/>
      <c r="D32" s="116"/>
      <c r="E32" s="116" t="s">
        <v>11</v>
      </c>
      <c r="F32" s="116" t="s">
        <v>2</v>
      </c>
      <c r="G32" s="116"/>
      <c r="H32" s="116"/>
      <c r="I32" s="116"/>
      <c r="J32" s="153" t="s">
        <v>174</v>
      </c>
      <c r="K32" s="153"/>
      <c r="L32" s="116" t="s">
        <v>11</v>
      </c>
      <c r="M32" s="116" t="s">
        <v>2</v>
      </c>
      <c r="N32" s="116"/>
      <c r="O32" s="116"/>
      <c r="P32" s="116" t="s">
        <v>11</v>
      </c>
      <c r="Q32" s="116" t="s">
        <v>2</v>
      </c>
      <c r="R32" s="116"/>
      <c r="S32" s="116"/>
      <c r="T32" s="116" t="s">
        <v>174</v>
      </c>
      <c r="U32" s="116"/>
    </row>
    <row r="33" spans="2:21" ht="14.1" customHeight="1" x14ac:dyDescent="0.3">
      <c r="B33" s="116"/>
      <c r="C33" s="116"/>
      <c r="D33" s="116"/>
      <c r="E33" s="116"/>
      <c r="F33" s="9" t="s">
        <v>9</v>
      </c>
      <c r="G33" s="9" t="s">
        <v>8</v>
      </c>
      <c r="H33" s="9" t="s">
        <v>275</v>
      </c>
      <c r="I33" s="9" t="s">
        <v>10</v>
      </c>
      <c r="J33" s="9" t="s">
        <v>7</v>
      </c>
      <c r="K33" s="4" t="s">
        <v>6</v>
      </c>
      <c r="L33" s="116"/>
      <c r="M33" s="9" t="s">
        <v>9</v>
      </c>
      <c r="N33" s="9" t="s">
        <v>7</v>
      </c>
      <c r="O33" s="9" t="s">
        <v>6</v>
      </c>
      <c r="P33" s="116"/>
      <c r="Q33" s="9" t="s">
        <v>7</v>
      </c>
      <c r="R33" s="9" t="s">
        <v>6</v>
      </c>
      <c r="S33" s="9" t="s">
        <v>10</v>
      </c>
      <c r="T33" s="9" t="s">
        <v>7</v>
      </c>
      <c r="U33" s="9" t="s">
        <v>6</v>
      </c>
    </row>
    <row r="34" spans="2:21" ht="14.1" customHeight="1" x14ac:dyDescent="0.3">
      <c r="B34" s="116"/>
      <c r="C34" s="116"/>
      <c r="D34" s="116"/>
      <c r="E34" s="116"/>
      <c r="F34" s="17" t="s">
        <v>13</v>
      </c>
      <c r="G34" s="17" t="s">
        <v>13</v>
      </c>
      <c r="H34" s="17" t="s">
        <v>13</v>
      </c>
      <c r="I34" s="17" t="s">
        <v>14</v>
      </c>
      <c r="J34" s="17" t="s">
        <v>13</v>
      </c>
      <c r="K34" s="17" t="s">
        <v>13</v>
      </c>
      <c r="L34" s="116"/>
      <c r="M34" s="17" t="s">
        <v>13</v>
      </c>
      <c r="N34" s="17" t="s">
        <v>13</v>
      </c>
      <c r="O34" s="17" t="s">
        <v>13</v>
      </c>
      <c r="P34" s="116"/>
      <c r="Q34" s="17" t="s">
        <v>13</v>
      </c>
      <c r="R34" s="17" t="s">
        <v>13</v>
      </c>
      <c r="S34" s="17" t="s">
        <v>14</v>
      </c>
      <c r="T34" s="17" t="s">
        <v>13</v>
      </c>
      <c r="U34" s="17" t="s">
        <v>13</v>
      </c>
    </row>
    <row r="35" spans="2:21" ht="14.1" customHeight="1" x14ac:dyDescent="0.3">
      <c r="B35" s="116"/>
      <c r="C35" s="116"/>
      <c r="D35" s="116"/>
      <c r="E35" s="9"/>
      <c r="F35" s="72"/>
      <c r="G35" s="72"/>
      <c r="H35" s="72"/>
      <c r="I35" s="72"/>
      <c r="J35" s="17"/>
      <c r="K35" s="17"/>
      <c r="L35" s="83"/>
      <c r="M35" s="83"/>
      <c r="N35" s="83"/>
      <c r="O35" s="63"/>
      <c r="P35" s="63"/>
      <c r="Q35" s="63"/>
      <c r="R35" s="63"/>
      <c r="S35" s="63"/>
      <c r="T35" s="63"/>
      <c r="U35" s="63"/>
    </row>
    <row r="36" spans="2:21" ht="14.1" customHeight="1" x14ac:dyDescent="0.3">
      <c r="B36" s="116"/>
      <c r="C36" s="116"/>
      <c r="D36" s="116"/>
      <c r="E36" s="9"/>
      <c r="F36" s="72"/>
      <c r="G36" s="72"/>
      <c r="H36" s="72"/>
      <c r="I36" s="72"/>
      <c r="J36" s="17"/>
      <c r="K36" s="17"/>
      <c r="L36" s="83"/>
      <c r="M36" s="83"/>
      <c r="N36" s="83"/>
      <c r="O36" s="63"/>
      <c r="P36" s="63"/>
      <c r="Q36" s="63"/>
      <c r="R36" s="63"/>
      <c r="S36" s="63"/>
      <c r="T36" s="63"/>
      <c r="U36" s="63"/>
    </row>
    <row r="37" spans="2:21" ht="14.1" customHeight="1" x14ac:dyDescent="0.3">
      <c r="B37" s="116"/>
      <c r="C37" s="116"/>
      <c r="D37" s="116"/>
      <c r="E37" s="9"/>
      <c r="F37" s="72"/>
      <c r="G37" s="72"/>
      <c r="H37" s="72"/>
      <c r="I37" s="72"/>
      <c r="J37" s="17"/>
      <c r="K37" s="17"/>
      <c r="L37" s="83"/>
      <c r="M37" s="83"/>
      <c r="N37" s="83"/>
      <c r="O37" s="63"/>
      <c r="P37" s="63"/>
      <c r="Q37" s="63"/>
      <c r="R37" s="63"/>
      <c r="S37" s="63"/>
      <c r="T37" s="63"/>
      <c r="U37" s="63"/>
    </row>
    <row r="38" spans="2:21" ht="14.1" customHeight="1" x14ac:dyDescent="0.3">
      <c r="B38" s="116"/>
      <c r="C38" s="116"/>
      <c r="D38" s="116"/>
      <c r="E38" s="9"/>
      <c r="F38" s="72"/>
      <c r="G38" s="72"/>
      <c r="H38" s="72"/>
      <c r="I38" s="72"/>
      <c r="J38" s="17"/>
      <c r="K38" s="17"/>
      <c r="L38" s="83"/>
      <c r="M38" s="83"/>
      <c r="N38" s="83"/>
      <c r="O38" s="63"/>
      <c r="P38" s="63"/>
      <c r="Q38" s="63"/>
      <c r="R38" s="63"/>
      <c r="S38" s="63"/>
      <c r="T38" s="63"/>
      <c r="U38" s="63"/>
    </row>
    <row r="39" spans="2:21" ht="14.1" customHeight="1" x14ac:dyDescent="0.3">
      <c r="B39" s="116"/>
      <c r="C39" s="116"/>
      <c r="D39" s="116"/>
      <c r="E39" s="9"/>
      <c r="F39" s="72"/>
      <c r="G39" s="72"/>
      <c r="H39" s="72"/>
      <c r="I39" s="72"/>
      <c r="J39" s="17"/>
      <c r="K39" s="17"/>
      <c r="L39" s="83"/>
      <c r="M39" s="83"/>
      <c r="N39" s="83"/>
      <c r="O39" s="63"/>
      <c r="P39" s="63"/>
      <c r="Q39" s="63"/>
      <c r="R39" s="63"/>
      <c r="S39" s="63"/>
      <c r="T39" s="63"/>
      <c r="U39" s="63"/>
    </row>
    <row r="40" spans="2:21" ht="14.1" customHeight="1" x14ac:dyDescent="0.3">
      <c r="B40" s="116"/>
      <c r="C40" s="116"/>
      <c r="D40" s="116"/>
      <c r="E40" s="9"/>
      <c r="F40" s="72"/>
      <c r="G40" s="72"/>
      <c r="H40" s="72"/>
      <c r="I40" s="72"/>
      <c r="J40" s="17"/>
      <c r="K40" s="17"/>
      <c r="L40" s="83"/>
      <c r="M40" s="83"/>
      <c r="N40" s="83"/>
      <c r="O40" s="63"/>
      <c r="P40" s="63"/>
      <c r="Q40" s="63"/>
      <c r="R40" s="63"/>
      <c r="S40" s="63"/>
      <c r="T40" s="63"/>
      <c r="U40" s="63"/>
    </row>
    <row r="41" spans="2:21" ht="14.1" customHeight="1" x14ac:dyDescent="0.3">
      <c r="B41" s="116"/>
      <c r="C41" s="116"/>
      <c r="D41" s="116"/>
      <c r="E41" s="9"/>
      <c r="F41" s="72"/>
      <c r="G41" s="72"/>
      <c r="H41" s="72"/>
      <c r="I41" s="72"/>
      <c r="J41" s="17"/>
      <c r="K41" s="17"/>
      <c r="L41" s="83"/>
      <c r="M41" s="83"/>
      <c r="N41" s="83"/>
      <c r="O41" s="63"/>
      <c r="P41" s="63"/>
      <c r="Q41" s="63"/>
      <c r="R41" s="63"/>
      <c r="S41" s="63"/>
      <c r="T41" s="63"/>
      <c r="U41" s="63"/>
    </row>
    <row r="42" spans="2:21" ht="14.1" customHeight="1" x14ac:dyDescent="0.3">
      <c r="B42" s="116"/>
      <c r="C42" s="116"/>
      <c r="D42" s="116"/>
      <c r="E42" s="9"/>
      <c r="F42" s="72"/>
      <c r="G42" s="72"/>
      <c r="H42" s="72"/>
      <c r="I42" s="72"/>
      <c r="J42" s="17"/>
      <c r="K42" s="17"/>
      <c r="L42" s="83"/>
      <c r="M42" s="83"/>
      <c r="N42" s="83"/>
      <c r="O42" s="63"/>
      <c r="P42" s="63"/>
      <c r="Q42" s="63"/>
      <c r="R42" s="63"/>
      <c r="S42" s="63"/>
      <c r="T42" s="63"/>
      <c r="U42" s="63"/>
    </row>
    <row r="43" spans="2:21" ht="14.1" customHeight="1" x14ac:dyDescent="0.3">
      <c r="B43" s="116"/>
      <c r="C43" s="116"/>
      <c r="D43" s="116"/>
      <c r="E43" s="82"/>
      <c r="F43" s="79"/>
      <c r="G43" s="79"/>
      <c r="H43" s="79"/>
      <c r="I43" s="79"/>
      <c r="J43" s="39"/>
      <c r="K43" s="39"/>
      <c r="L43" s="39"/>
      <c r="M43" s="68"/>
      <c r="N43" s="68"/>
      <c r="O43" s="63"/>
      <c r="P43" s="63"/>
      <c r="Q43" s="63"/>
      <c r="R43" s="63"/>
      <c r="S43" s="63"/>
      <c r="T43" s="63"/>
      <c r="U43" s="63"/>
    </row>
    <row r="44" spans="2:21" ht="14.1" customHeight="1" x14ac:dyDescent="0.3">
      <c r="B44" s="116"/>
      <c r="C44" s="116"/>
      <c r="D44" s="116"/>
      <c r="E44" s="82"/>
      <c r="F44" s="79"/>
      <c r="G44" s="79"/>
      <c r="H44" s="79"/>
      <c r="I44" s="79"/>
      <c r="J44" s="79"/>
      <c r="K44" s="79"/>
      <c r="L44" s="39"/>
      <c r="M44" s="68"/>
      <c r="N44" s="39"/>
      <c r="O44" s="63"/>
      <c r="P44" s="63"/>
      <c r="Q44" s="63"/>
      <c r="R44" s="63"/>
      <c r="S44" s="63"/>
      <c r="T44" s="63"/>
      <c r="U44" s="63"/>
    </row>
    <row r="45" spans="2:21" ht="14.1" customHeight="1" x14ac:dyDescent="0.3">
      <c r="B45" s="116"/>
      <c r="C45" s="116"/>
      <c r="D45" s="116"/>
      <c r="E45" s="82"/>
      <c r="F45" s="79"/>
      <c r="G45" s="79"/>
      <c r="H45" s="79"/>
      <c r="I45" s="79"/>
      <c r="J45" s="39"/>
      <c r="K45" s="39"/>
      <c r="L45" s="39"/>
      <c r="M45" s="68"/>
      <c r="N45" s="68"/>
      <c r="O45" s="63"/>
      <c r="P45" s="63"/>
      <c r="Q45" s="63"/>
      <c r="R45" s="63"/>
      <c r="S45" s="63"/>
      <c r="T45" s="63"/>
      <c r="U45" s="63"/>
    </row>
    <row r="46" spans="2:21" ht="14.1" customHeight="1" x14ac:dyDescent="0.3">
      <c r="B46" s="116"/>
      <c r="C46" s="116"/>
      <c r="D46" s="116"/>
      <c r="E46" s="82"/>
      <c r="F46" s="79"/>
      <c r="G46" s="79"/>
      <c r="H46" s="79"/>
      <c r="I46" s="79"/>
      <c r="J46" s="39"/>
      <c r="K46" s="39"/>
      <c r="L46" s="39"/>
      <c r="M46" s="68"/>
      <c r="N46" s="68"/>
      <c r="O46" s="63"/>
      <c r="P46" s="63"/>
      <c r="Q46" s="63"/>
      <c r="R46" s="63"/>
      <c r="S46" s="63"/>
      <c r="T46" s="63"/>
      <c r="U46" s="63"/>
    </row>
    <row r="47" spans="2:21" ht="14.1" customHeight="1" x14ac:dyDescent="0.3">
      <c r="B47" s="116"/>
      <c r="C47" s="116"/>
      <c r="D47" s="116"/>
      <c r="E47" s="82"/>
      <c r="F47" s="79"/>
      <c r="G47" s="79"/>
      <c r="H47" s="79"/>
      <c r="I47" s="79"/>
      <c r="J47" s="39"/>
      <c r="K47" s="39"/>
      <c r="L47" s="39"/>
      <c r="M47" s="68"/>
      <c r="N47" s="68"/>
      <c r="O47" s="63"/>
      <c r="P47" s="63"/>
      <c r="Q47" s="63"/>
      <c r="R47" s="63"/>
      <c r="S47" s="63"/>
      <c r="T47" s="63"/>
      <c r="U47" s="63"/>
    </row>
    <row r="48" spans="2:21" ht="14.1" customHeight="1" x14ac:dyDescent="0.3">
      <c r="B48" s="116"/>
      <c r="C48" s="116"/>
      <c r="D48" s="116"/>
      <c r="E48" s="82"/>
      <c r="F48" s="79"/>
      <c r="G48" s="79"/>
      <c r="H48" s="79"/>
      <c r="I48" s="79"/>
      <c r="J48" s="39"/>
      <c r="K48" s="39"/>
      <c r="L48" s="39"/>
      <c r="M48" s="68"/>
      <c r="N48" s="68"/>
      <c r="O48" s="63"/>
      <c r="P48" s="63"/>
      <c r="Q48" s="63"/>
      <c r="R48" s="63"/>
      <c r="S48" s="63"/>
      <c r="T48" s="63"/>
      <c r="U48" s="63"/>
    </row>
    <row r="49" spans="2:23" ht="14.1" customHeight="1" x14ac:dyDescent="0.3">
      <c r="B49" s="116"/>
      <c r="C49" s="116"/>
      <c r="D49" s="116"/>
      <c r="E49" s="82"/>
      <c r="F49" s="79"/>
      <c r="G49" s="79"/>
      <c r="H49" s="79"/>
      <c r="I49" s="79"/>
      <c r="J49" s="39"/>
      <c r="K49" s="39"/>
      <c r="L49" s="39"/>
      <c r="M49" s="68"/>
      <c r="N49" s="68"/>
      <c r="O49" s="63"/>
      <c r="P49" s="63"/>
      <c r="Q49" s="63"/>
      <c r="R49" s="63"/>
      <c r="S49" s="63"/>
      <c r="T49" s="63"/>
      <c r="U49" s="63"/>
    </row>
    <row r="50" spans="2:23" ht="14.1" customHeight="1" x14ac:dyDescent="0.3">
      <c r="B50" s="116"/>
      <c r="C50" s="116"/>
      <c r="D50" s="116"/>
      <c r="E50" s="82"/>
      <c r="F50" s="79"/>
      <c r="G50" s="79"/>
      <c r="H50" s="79"/>
      <c r="I50" s="79"/>
      <c r="J50" s="39"/>
      <c r="K50" s="39"/>
      <c r="L50" s="39"/>
      <c r="M50" s="68"/>
      <c r="N50" s="68"/>
      <c r="O50" s="63"/>
      <c r="P50" s="63"/>
      <c r="Q50" s="63"/>
      <c r="R50" s="63"/>
      <c r="S50" s="63"/>
      <c r="T50" s="63"/>
      <c r="U50" s="63"/>
    </row>
    <row r="51" spans="2:23" ht="14.1" customHeight="1" x14ac:dyDescent="0.3">
      <c r="B51" s="116"/>
      <c r="C51" s="116"/>
      <c r="D51" s="116"/>
      <c r="E51" s="82"/>
      <c r="F51" s="79"/>
      <c r="G51" s="79"/>
      <c r="H51" s="79"/>
      <c r="I51" s="79"/>
      <c r="J51" s="39"/>
      <c r="K51" s="39"/>
      <c r="L51" s="39"/>
      <c r="M51" s="68"/>
      <c r="N51" s="68"/>
      <c r="O51" s="63"/>
      <c r="P51" s="63"/>
      <c r="Q51" s="63"/>
      <c r="R51" s="63"/>
      <c r="S51" s="63"/>
      <c r="T51" s="63"/>
      <c r="U51" s="63"/>
    </row>
    <row r="52" spans="2:23" ht="14.1" customHeight="1" x14ac:dyDescent="0.3">
      <c r="B52" s="116"/>
      <c r="C52" s="116"/>
      <c r="D52" s="116"/>
      <c r="E52" s="82"/>
      <c r="F52" s="79"/>
      <c r="G52" s="79"/>
      <c r="H52" s="79"/>
      <c r="I52" s="79"/>
      <c r="J52" s="39"/>
      <c r="K52" s="39"/>
      <c r="L52" s="39"/>
      <c r="M52" s="68"/>
      <c r="N52" s="68"/>
      <c r="O52" s="63"/>
      <c r="P52" s="63"/>
      <c r="Q52" s="63"/>
      <c r="R52" s="63"/>
      <c r="S52" s="63"/>
      <c r="T52" s="63"/>
      <c r="U52" s="63"/>
    </row>
    <row r="53" spans="2:23" ht="14.1" customHeight="1" x14ac:dyDescent="0.3">
      <c r="B53" s="116"/>
      <c r="C53" s="116"/>
      <c r="D53" s="116"/>
      <c r="E53" s="82"/>
      <c r="F53" s="79"/>
      <c r="G53" s="79"/>
      <c r="H53" s="79"/>
      <c r="I53" s="79"/>
      <c r="J53" s="39"/>
      <c r="K53" s="39"/>
      <c r="L53" s="39"/>
      <c r="M53" s="68"/>
      <c r="N53" s="39"/>
      <c r="O53" s="63"/>
      <c r="P53" s="63"/>
      <c r="Q53" s="63"/>
      <c r="R53" s="63"/>
      <c r="S53" s="63"/>
      <c r="T53" s="63"/>
      <c r="U53" s="63"/>
    </row>
    <row r="54" spans="2:23" ht="14.1" customHeight="1" x14ac:dyDescent="0.3">
      <c r="B54" s="116"/>
      <c r="C54" s="116"/>
      <c r="D54" s="116"/>
      <c r="E54" s="82"/>
      <c r="F54" s="79"/>
      <c r="G54" s="79"/>
      <c r="H54" s="79"/>
      <c r="I54" s="79"/>
      <c r="J54" s="39"/>
      <c r="K54" s="39"/>
      <c r="L54" s="39"/>
      <c r="M54" s="68"/>
      <c r="N54" s="39"/>
      <c r="O54" s="63"/>
      <c r="P54" s="63"/>
      <c r="Q54" s="63"/>
      <c r="R54" s="63"/>
      <c r="S54" s="63"/>
      <c r="T54" s="63"/>
      <c r="U54" s="63"/>
    </row>
    <row r="55" spans="2:23" ht="14.1" customHeight="1" x14ac:dyDescent="0.3">
      <c r="B55" s="132" t="s">
        <v>29</v>
      </c>
      <c r="C55" s="132"/>
      <c r="D55" s="132"/>
      <c r="E55" s="132"/>
      <c r="F55" s="132"/>
      <c r="G55" s="132"/>
      <c r="H55" s="132"/>
      <c r="I55" s="54">
        <f>SUM(I35:I54)</f>
        <v>0</v>
      </c>
      <c r="J55" s="54"/>
      <c r="K55" s="54"/>
      <c r="L55" s="54"/>
      <c r="M55" s="54"/>
      <c r="N55" s="54">
        <f>SUM(N35:N54)</f>
        <v>0</v>
      </c>
      <c r="O55" s="54"/>
      <c r="P55" s="54"/>
      <c r="Q55" s="54"/>
      <c r="R55" s="54">
        <f>SUM(R35:R54)</f>
        <v>0</v>
      </c>
      <c r="S55" s="54"/>
      <c r="T55" s="54"/>
      <c r="U55" s="63"/>
    </row>
    <row r="58" spans="2:23" ht="14.1" customHeight="1" x14ac:dyDescent="0.3">
      <c r="B58" s="116" t="s">
        <v>5</v>
      </c>
      <c r="C58" s="116"/>
      <c r="D58" s="116"/>
      <c r="E58" s="116" t="s">
        <v>276</v>
      </c>
      <c r="F58" s="116"/>
      <c r="G58" s="116"/>
      <c r="H58" s="116"/>
      <c r="I58" s="116" t="s">
        <v>277</v>
      </c>
      <c r="J58" s="116"/>
      <c r="K58" s="116"/>
      <c r="L58" s="116"/>
      <c r="M58" s="116" t="s">
        <v>278</v>
      </c>
      <c r="N58" s="116"/>
      <c r="O58" s="116"/>
      <c r="P58" s="116"/>
      <c r="Q58" s="117" t="s">
        <v>279</v>
      </c>
      <c r="R58" s="117"/>
      <c r="S58" s="117"/>
      <c r="T58" s="117"/>
      <c r="U58" s="117" t="s">
        <v>280</v>
      </c>
      <c r="V58" s="117"/>
      <c r="W58" s="117"/>
    </row>
    <row r="59" spans="2:23" ht="14.1" customHeight="1" x14ac:dyDescent="0.3">
      <c r="B59" s="116"/>
      <c r="C59" s="116"/>
      <c r="D59" s="116"/>
      <c r="E59" s="9" t="s">
        <v>8</v>
      </c>
      <c r="F59" s="9" t="s">
        <v>268</v>
      </c>
      <c r="G59" s="116" t="s">
        <v>281</v>
      </c>
      <c r="H59" s="116"/>
      <c r="I59" s="9" t="s">
        <v>8</v>
      </c>
      <c r="J59" s="9" t="s">
        <v>268</v>
      </c>
      <c r="K59" s="116" t="s">
        <v>281</v>
      </c>
      <c r="L59" s="116"/>
      <c r="M59" s="9" t="s">
        <v>8</v>
      </c>
      <c r="N59" s="9" t="s">
        <v>268</v>
      </c>
      <c r="O59" s="116" t="s">
        <v>281</v>
      </c>
      <c r="P59" s="116"/>
      <c r="Q59" s="116" t="s">
        <v>281</v>
      </c>
      <c r="R59" s="116"/>
      <c r="S59" s="116"/>
      <c r="T59" s="116"/>
      <c r="U59" s="116" t="s">
        <v>281</v>
      </c>
      <c r="V59" s="116"/>
      <c r="W59" s="116"/>
    </row>
    <row r="60" spans="2:23" ht="14.1" customHeight="1" x14ac:dyDescent="0.3">
      <c r="B60" s="116"/>
      <c r="C60" s="116"/>
      <c r="D60" s="116"/>
      <c r="E60" s="17" t="s">
        <v>13</v>
      </c>
      <c r="F60" s="17" t="s">
        <v>13</v>
      </c>
      <c r="G60" s="9" t="s">
        <v>282</v>
      </c>
      <c r="H60" s="9" t="s">
        <v>283</v>
      </c>
      <c r="I60" s="17" t="s">
        <v>13</v>
      </c>
      <c r="J60" s="17" t="s">
        <v>13</v>
      </c>
      <c r="K60" s="9" t="s">
        <v>282</v>
      </c>
      <c r="L60" s="9" t="s">
        <v>283</v>
      </c>
      <c r="M60" s="17" t="s">
        <v>13</v>
      </c>
      <c r="N60" s="17" t="s">
        <v>13</v>
      </c>
      <c r="O60" s="9" t="s">
        <v>282</v>
      </c>
      <c r="P60" s="9" t="s">
        <v>283</v>
      </c>
      <c r="Q60" s="9" t="s">
        <v>282</v>
      </c>
      <c r="R60" s="9" t="s">
        <v>283</v>
      </c>
      <c r="S60" s="9" t="s">
        <v>92</v>
      </c>
      <c r="T60" s="4" t="s">
        <v>16</v>
      </c>
      <c r="U60" s="9" t="s">
        <v>83</v>
      </c>
      <c r="V60" s="9" t="s">
        <v>84</v>
      </c>
      <c r="W60" s="9" t="s">
        <v>284</v>
      </c>
    </row>
    <row r="61" spans="2:23" ht="14.1" customHeight="1" x14ac:dyDescent="0.3">
      <c r="B61" s="116"/>
      <c r="C61" s="116"/>
      <c r="D61" s="116"/>
      <c r="E61" s="9"/>
      <c r="F61" s="72"/>
      <c r="G61" s="72"/>
      <c r="H61" s="72"/>
      <c r="I61" s="72"/>
      <c r="J61" s="17"/>
      <c r="K61" s="17"/>
      <c r="L61" s="83"/>
      <c r="M61" s="83"/>
      <c r="N61" s="83"/>
      <c r="O61" s="63"/>
      <c r="P61" s="63"/>
      <c r="Q61" s="9"/>
      <c r="R61" s="72"/>
      <c r="S61" s="72"/>
      <c r="T61" s="72"/>
      <c r="U61" s="72"/>
      <c r="V61" s="17"/>
      <c r="W61" s="17"/>
    </row>
    <row r="62" spans="2:23" ht="14.1" customHeight="1" x14ac:dyDescent="0.3">
      <c r="B62" s="116"/>
      <c r="C62" s="116"/>
      <c r="D62" s="116"/>
      <c r="E62" s="9"/>
      <c r="F62" s="72"/>
      <c r="G62" s="72"/>
      <c r="H62" s="72"/>
      <c r="I62" s="72"/>
      <c r="J62" s="17"/>
      <c r="K62" s="17"/>
      <c r="L62" s="83"/>
      <c r="M62" s="83"/>
      <c r="N62" s="83"/>
      <c r="O62" s="63"/>
      <c r="P62" s="63"/>
      <c r="Q62" s="9"/>
      <c r="R62" s="72"/>
      <c r="S62" s="72"/>
      <c r="T62" s="72"/>
      <c r="U62" s="72"/>
      <c r="V62" s="17"/>
      <c r="W62" s="17"/>
    </row>
    <row r="63" spans="2:23" ht="14.1" customHeight="1" x14ac:dyDescent="0.3">
      <c r="B63" s="116"/>
      <c r="C63" s="116"/>
      <c r="D63" s="116"/>
      <c r="E63" s="9"/>
      <c r="F63" s="72"/>
      <c r="G63" s="72"/>
      <c r="H63" s="72"/>
      <c r="I63" s="72"/>
      <c r="J63" s="17"/>
      <c r="K63" s="17"/>
      <c r="L63" s="83"/>
      <c r="M63" s="83"/>
      <c r="N63" s="83"/>
      <c r="O63" s="63"/>
      <c r="P63" s="63"/>
      <c r="Q63" s="9"/>
      <c r="R63" s="72"/>
      <c r="S63" s="72"/>
      <c r="T63" s="72"/>
      <c r="U63" s="72"/>
      <c r="V63" s="17"/>
      <c r="W63" s="17"/>
    </row>
    <row r="64" spans="2:23" ht="14.1" customHeight="1" x14ac:dyDescent="0.3">
      <c r="B64" s="116"/>
      <c r="C64" s="116"/>
      <c r="D64" s="116"/>
      <c r="E64" s="9"/>
      <c r="F64" s="72"/>
      <c r="G64" s="72"/>
      <c r="H64" s="72"/>
      <c r="I64" s="72"/>
      <c r="J64" s="17"/>
      <c r="K64" s="17"/>
      <c r="L64" s="83"/>
      <c r="M64" s="83"/>
      <c r="N64" s="83"/>
      <c r="O64" s="63"/>
      <c r="P64" s="63"/>
      <c r="Q64" s="9"/>
      <c r="R64" s="72"/>
      <c r="S64" s="72"/>
      <c r="T64" s="72"/>
      <c r="U64" s="72"/>
      <c r="V64" s="17"/>
      <c r="W64" s="17"/>
    </row>
    <row r="65" spans="2:23" ht="14.1" customHeight="1" x14ac:dyDescent="0.3">
      <c r="B65" s="116"/>
      <c r="C65" s="116"/>
      <c r="D65" s="116"/>
      <c r="E65" s="9"/>
      <c r="F65" s="72"/>
      <c r="G65" s="72"/>
      <c r="H65" s="72"/>
      <c r="I65" s="72"/>
      <c r="J65" s="17"/>
      <c r="K65" s="17"/>
      <c r="L65" s="83"/>
      <c r="M65" s="83"/>
      <c r="N65" s="83"/>
      <c r="O65" s="63"/>
      <c r="P65" s="63"/>
      <c r="Q65" s="9"/>
      <c r="R65" s="72"/>
      <c r="S65" s="72"/>
      <c r="T65" s="72"/>
      <c r="U65" s="72"/>
      <c r="V65" s="17"/>
      <c r="W65" s="17"/>
    </row>
    <row r="66" spans="2:23" ht="14.1" customHeight="1" x14ac:dyDescent="0.3">
      <c r="B66" s="116"/>
      <c r="C66" s="116"/>
      <c r="D66" s="116"/>
      <c r="E66" s="9"/>
      <c r="F66" s="72"/>
      <c r="G66" s="72"/>
      <c r="H66" s="72"/>
      <c r="I66" s="72"/>
      <c r="J66" s="17"/>
      <c r="K66" s="17"/>
      <c r="L66" s="83"/>
      <c r="M66" s="83"/>
      <c r="N66" s="83"/>
      <c r="O66" s="63"/>
      <c r="P66" s="63"/>
      <c r="Q66" s="9"/>
      <c r="R66" s="72"/>
      <c r="S66" s="72"/>
      <c r="T66" s="72"/>
      <c r="U66" s="72"/>
      <c r="V66" s="17"/>
      <c r="W66" s="17"/>
    </row>
    <row r="67" spans="2:23" ht="14.1" customHeight="1" x14ac:dyDescent="0.3">
      <c r="B67" s="116"/>
      <c r="C67" s="116"/>
      <c r="D67" s="116"/>
      <c r="E67" s="9"/>
      <c r="F67" s="72"/>
      <c r="G67" s="72"/>
      <c r="H67" s="72"/>
      <c r="I67" s="72"/>
      <c r="J67" s="17"/>
      <c r="K67" s="17"/>
      <c r="L67" s="83"/>
      <c r="M67" s="83"/>
      <c r="N67" s="83"/>
      <c r="O67" s="63"/>
      <c r="P67" s="63"/>
      <c r="Q67" s="9"/>
      <c r="R67" s="72"/>
      <c r="S67" s="72"/>
      <c r="T67" s="72"/>
      <c r="U67" s="72"/>
      <c r="V67" s="17"/>
      <c r="W67" s="17"/>
    </row>
    <row r="68" spans="2:23" ht="14.1" customHeight="1" x14ac:dyDescent="0.3">
      <c r="B68" s="116"/>
      <c r="C68" s="116"/>
      <c r="D68" s="116"/>
      <c r="E68" s="9"/>
      <c r="F68" s="72"/>
      <c r="G68" s="72"/>
      <c r="H68" s="72"/>
      <c r="I68" s="72"/>
      <c r="J68" s="17"/>
      <c r="K68" s="17"/>
      <c r="L68" s="83"/>
      <c r="M68" s="83"/>
      <c r="N68" s="83"/>
      <c r="O68" s="63"/>
      <c r="P68" s="63"/>
      <c r="Q68" s="9"/>
      <c r="R68" s="72"/>
      <c r="S68" s="72"/>
      <c r="T68" s="72"/>
      <c r="U68" s="72"/>
      <c r="V68" s="17"/>
      <c r="W68" s="17"/>
    </row>
    <row r="69" spans="2:23" ht="14.1" customHeight="1" x14ac:dyDescent="0.3">
      <c r="B69" s="116"/>
      <c r="C69" s="116"/>
      <c r="D69" s="116"/>
      <c r="E69" s="82"/>
      <c r="F69" s="79"/>
      <c r="G69" s="79"/>
      <c r="H69" s="79"/>
      <c r="I69" s="79"/>
      <c r="J69" s="39"/>
      <c r="K69" s="39"/>
      <c r="L69" s="39"/>
      <c r="M69" s="68"/>
      <c r="N69" s="68"/>
      <c r="O69" s="63"/>
      <c r="P69" s="63"/>
      <c r="Q69" s="82"/>
      <c r="R69" s="79"/>
      <c r="S69" s="79"/>
      <c r="T69" s="79"/>
      <c r="U69" s="79"/>
      <c r="V69" s="39"/>
      <c r="W69" s="39"/>
    </row>
    <row r="70" spans="2:23" ht="14.1" customHeight="1" x14ac:dyDescent="0.3">
      <c r="B70" s="116"/>
      <c r="C70" s="116"/>
      <c r="D70" s="116"/>
      <c r="E70" s="82"/>
      <c r="F70" s="79"/>
      <c r="G70" s="79"/>
      <c r="H70" s="79"/>
      <c r="I70" s="79"/>
      <c r="J70" s="79"/>
      <c r="K70" s="79"/>
      <c r="L70" s="39"/>
      <c r="M70" s="68"/>
      <c r="N70" s="39"/>
      <c r="O70" s="63"/>
      <c r="P70" s="63"/>
      <c r="Q70" s="82"/>
      <c r="R70" s="79"/>
      <c r="S70" s="79"/>
      <c r="T70" s="79"/>
      <c r="U70" s="79"/>
      <c r="V70" s="79"/>
      <c r="W70" s="79"/>
    </row>
    <row r="71" spans="2:23" ht="14.1" customHeight="1" x14ac:dyDescent="0.3">
      <c r="B71" s="116"/>
      <c r="C71" s="116"/>
      <c r="D71" s="116"/>
      <c r="E71" s="82"/>
      <c r="F71" s="79"/>
      <c r="G71" s="79"/>
      <c r="H71" s="79"/>
      <c r="I71" s="79"/>
      <c r="J71" s="39"/>
      <c r="K71" s="39"/>
      <c r="L71" s="39"/>
      <c r="M71" s="68"/>
      <c r="N71" s="68"/>
      <c r="O71" s="63"/>
      <c r="P71" s="63"/>
      <c r="Q71" s="82"/>
      <c r="R71" s="79"/>
      <c r="S71" s="79"/>
      <c r="T71" s="79"/>
      <c r="U71" s="79"/>
      <c r="V71" s="39"/>
      <c r="W71" s="39"/>
    </row>
    <row r="72" spans="2:23" ht="14.1" customHeight="1" x14ac:dyDescent="0.3">
      <c r="B72" s="116"/>
      <c r="C72" s="116"/>
      <c r="D72" s="116"/>
      <c r="E72" s="82"/>
      <c r="F72" s="79"/>
      <c r="G72" s="79"/>
      <c r="H72" s="79"/>
      <c r="I72" s="79"/>
      <c r="J72" s="39"/>
      <c r="K72" s="39"/>
      <c r="L72" s="39"/>
      <c r="M72" s="68"/>
      <c r="N72" s="68"/>
      <c r="O72" s="63"/>
      <c r="P72" s="63"/>
      <c r="Q72" s="82"/>
      <c r="R72" s="79"/>
      <c r="S72" s="79"/>
      <c r="T72" s="79"/>
      <c r="U72" s="79"/>
      <c r="V72" s="39"/>
      <c r="W72" s="39"/>
    </row>
    <row r="73" spans="2:23" ht="14.1" customHeight="1" x14ac:dyDescent="0.3">
      <c r="B73" s="116"/>
      <c r="C73" s="116"/>
      <c r="D73" s="116"/>
      <c r="E73" s="82"/>
      <c r="F73" s="79"/>
      <c r="G73" s="79"/>
      <c r="H73" s="79"/>
      <c r="I73" s="79"/>
      <c r="J73" s="39"/>
      <c r="K73" s="39"/>
      <c r="L73" s="39"/>
      <c r="M73" s="68"/>
      <c r="N73" s="68"/>
      <c r="O73" s="63"/>
      <c r="P73" s="63"/>
      <c r="Q73" s="82"/>
      <c r="R73" s="79"/>
      <c r="S73" s="79"/>
      <c r="T73" s="79"/>
      <c r="U73" s="79"/>
      <c r="V73" s="39"/>
      <c r="W73" s="39"/>
    </row>
    <row r="74" spans="2:23" ht="14.1" customHeight="1" x14ac:dyDescent="0.3">
      <c r="B74" s="116"/>
      <c r="C74" s="116"/>
      <c r="D74" s="116"/>
      <c r="E74" s="82"/>
      <c r="F74" s="79"/>
      <c r="G74" s="79"/>
      <c r="H74" s="79"/>
      <c r="I74" s="79"/>
      <c r="J74" s="39"/>
      <c r="K74" s="39"/>
      <c r="L74" s="39"/>
      <c r="M74" s="68"/>
      <c r="N74" s="68"/>
      <c r="O74" s="63"/>
      <c r="P74" s="63"/>
      <c r="Q74" s="82"/>
      <c r="R74" s="79"/>
      <c r="S74" s="79"/>
      <c r="T74" s="79"/>
      <c r="U74" s="79"/>
      <c r="V74" s="39"/>
      <c r="W74" s="39"/>
    </row>
    <row r="75" spans="2:23" ht="14.1" customHeight="1" x14ac:dyDescent="0.3">
      <c r="B75" s="116"/>
      <c r="C75" s="116"/>
      <c r="D75" s="116"/>
      <c r="E75" s="82"/>
      <c r="F75" s="79"/>
      <c r="G75" s="79"/>
      <c r="H75" s="79"/>
      <c r="I75" s="79"/>
      <c r="J75" s="39"/>
      <c r="K75" s="39"/>
      <c r="L75" s="39"/>
      <c r="M75" s="68"/>
      <c r="N75" s="68"/>
      <c r="O75" s="63"/>
      <c r="P75" s="63"/>
      <c r="Q75" s="82"/>
      <c r="R75" s="79"/>
      <c r="S75" s="79"/>
      <c r="T75" s="79"/>
      <c r="U75" s="79"/>
      <c r="V75" s="39"/>
      <c r="W75" s="39"/>
    </row>
    <row r="76" spans="2:23" ht="14.1" customHeight="1" x14ac:dyDescent="0.3">
      <c r="B76" s="116"/>
      <c r="C76" s="116"/>
      <c r="D76" s="116"/>
      <c r="E76" s="82"/>
      <c r="F76" s="79"/>
      <c r="G76" s="79"/>
      <c r="H76" s="79"/>
      <c r="I76" s="79"/>
      <c r="J76" s="39"/>
      <c r="K76" s="39"/>
      <c r="L76" s="39"/>
      <c r="M76" s="68"/>
      <c r="N76" s="68"/>
      <c r="O76" s="63"/>
      <c r="P76" s="63"/>
      <c r="Q76" s="82"/>
      <c r="R76" s="79"/>
      <c r="S76" s="79"/>
      <c r="T76" s="79"/>
      <c r="U76" s="79"/>
      <c r="V76" s="39"/>
      <c r="W76" s="39"/>
    </row>
    <row r="77" spans="2:23" ht="14.1" customHeight="1" x14ac:dyDescent="0.3">
      <c r="B77" s="116"/>
      <c r="C77" s="116"/>
      <c r="D77" s="116"/>
      <c r="E77" s="82"/>
      <c r="F77" s="79"/>
      <c r="G77" s="79"/>
      <c r="H77" s="79"/>
      <c r="I77" s="79"/>
      <c r="J77" s="39"/>
      <c r="K77" s="39"/>
      <c r="L77" s="39"/>
      <c r="M77" s="68"/>
      <c r="N77" s="68"/>
      <c r="O77" s="63"/>
      <c r="P77" s="63"/>
      <c r="Q77" s="82"/>
      <c r="R77" s="79"/>
      <c r="S77" s="79"/>
      <c r="T77" s="79"/>
      <c r="U77" s="79"/>
      <c r="V77" s="39"/>
      <c r="W77" s="39"/>
    </row>
    <row r="78" spans="2:23" ht="14.1" customHeight="1" x14ac:dyDescent="0.3">
      <c r="B78" s="116"/>
      <c r="C78" s="116"/>
      <c r="D78" s="116"/>
      <c r="E78" s="82"/>
      <c r="F78" s="79"/>
      <c r="G78" s="79"/>
      <c r="H78" s="79"/>
      <c r="I78" s="79"/>
      <c r="J78" s="39"/>
      <c r="K78" s="39"/>
      <c r="L78" s="39"/>
      <c r="M78" s="68"/>
      <c r="N78" s="68"/>
      <c r="O78" s="63"/>
      <c r="P78" s="63"/>
      <c r="Q78" s="82"/>
      <c r="R78" s="79"/>
      <c r="S78" s="79"/>
      <c r="T78" s="79"/>
      <c r="U78" s="79"/>
      <c r="V78" s="39"/>
      <c r="W78" s="39"/>
    </row>
    <row r="79" spans="2:23" ht="14.1" customHeight="1" x14ac:dyDescent="0.3">
      <c r="B79" s="116"/>
      <c r="C79" s="116"/>
      <c r="D79" s="116"/>
      <c r="E79" s="82"/>
      <c r="F79" s="79"/>
      <c r="G79" s="79"/>
      <c r="H79" s="79"/>
      <c r="I79" s="79"/>
      <c r="J79" s="39"/>
      <c r="K79" s="39"/>
      <c r="L79" s="39"/>
      <c r="M79" s="68"/>
      <c r="N79" s="39"/>
      <c r="O79" s="63"/>
      <c r="P79" s="63"/>
      <c r="Q79" s="82"/>
      <c r="R79" s="79"/>
      <c r="S79" s="79"/>
      <c r="T79" s="79"/>
      <c r="U79" s="79"/>
      <c r="V79" s="39"/>
      <c r="W79" s="39"/>
    </row>
    <row r="80" spans="2:23" ht="14.1" customHeight="1" x14ac:dyDescent="0.3">
      <c r="B80" s="116"/>
      <c r="C80" s="116"/>
      <c r="D80" s="116"/>
      <c r="E80" s="82"/>
      <c r="F80" s="79"/>
      <c r="G80" s="79"/>
      <c r="H80" s="79"/>
      <c r="I80" s="79"/>
      <c r="J80" s="39"/>
      <c r="K80" s="39"/>
      <c r="L80" s="39"/>
      <c r="M80" s="68"/>
      <c r="N80" s="39"/>
      <c r="O80" s="63"/>
      <c r="P80" s="63"/>
      <c r="Q80" s="82"/>
      <c r="R80" s="79"/>
      <c r="S80" s="79"/>
      <c r="T80" s="79"/>
      <c r="U80" s="79"/>
      <c r="V80" s="39"/>
      <c r="W80" s="39"/>
    </row>
    <row r="81" spans="2:41" ht="14.1" customHeight="1" x14ac:dyDescent="0.3">
      <c r="B81" s="132" t="s">
        <v>29</v>
      </c>
      <c r="C81" s="132"/>
      <c r="D81" s="132"/>
      <c r="E81" s="132"/>
      <c r="F81" s="132"/>
      <c r="G81" s="132"/>
      <c r="H81" s="132"/>
      <c r="I81" s="54">
        <f>SUM(I61:I80)</f>
        <v>0</v>
      </c>
      <c r="J81" s="54"/>
      <c r="K81" s="54"/>
      <c r="L81" s="54"/>
      <c r="M81" s="54"/>
      <c r="N81" s="54">
        <f>SUM(N61:N80)</f>
        <v>0</v>
      </c>
      <c r="O81" s="54"/>
      <c r="P81" s="54"/>
      <c r="Q81" s="54">
        <f t="shared" ref="Q81:W81" si="0">SUM(Q61:Q80)</f>
        <v>0</v>
      </c>
      <c r="R81" s="54">
        <f t="shared" si="0"/>
        <v>0</v>
      </c>
      <c r="S81" s="54">
        <f t="shared" si="0"/>
        <v>0</v>
      </c>
      <c r="T81" s="54">
        <f t="shared" si="0"/>
        <v>0</v>
      </c>
      <c r="U81" s="54">
        <f t="shared" si="0"/>
        <v>0</v>
      </c>
      <c r="V81" s="54">
        <f t="shared" si="0"/>
        <v>0</v>
      </c>
      <c r="W81" s="54">
        <f t="shared" si="0"/>
        <v>0</v>
      </c>
    </row>
    <row r="84" spans="2:41" x14ac:dyDescent="0.3">
      <c r="C84" s="57"/>
      <c r="E84" s="133" t="s">
        <v>285</v>
      </c>
      <c r="F84" s="133"/>
      <c r="G84" s="133"/>
      <c r="H84" s="133"/>
      <c r="I84" s="133"/>
      <c r="J84" s="133"/>
      <c r="K84" s="133" t="s">
        <v>286</v>
      </c>
      <c r="L84" s="133"/>
      <c r="M84" s="133"/>
      <c r="N84" s="133"/>
      <c r="O84" s="133"/>
      <c r="P84" s="133"/>
      <c r="Q84" s="117" t="s">
        <v>287</v>
      </c>
      <c r="R84" s="117"/>
      <c r="S84" s="117"/>
      <c r="T84" s="117"/>
      <c r="U84" s="117" t="s">
        <v>288</v>
      </c>
      <c r="V84" s="117"/>
      <c r="W84" s="117"/>
      <c r="X84" s="117"/>
      <c r="Y84" s="117" t="s">
        <v>289</v>
      </c>
      <c r="Z84" s="117"/>
      <c r="AA84" s="117"/>
      <c r="AB84" s="117"/>
      <c r="AC84" s="117"/>
      <c r="AD84" s="117" t="s">
        <v>290</v>
      </c>
      <c r="AE84" s="117"/>
      <c r="AF84" s="117"/>
      <c r="AG84" s="117" t="s">
        <v>291</v>
      </c>
      <c r="AH84" s="117"/>
      <c r="AI84" s="117"/>
      <c r="AJ84" s="117" t="s">
        <v>284</v>
      </c>
      <c r="AK84" s="117"/>
      <c r="AL84" s="117"/>
      <c r="AM84" s="117"/>
      <c r="AN84" s="117"/>
      <c r="AO84" s="117"/>
    </row>
    <row r="85" spans="2:41" ht="14.1" customHeight="1" x14ac:dyDescent="0.3">
      <c r="B85" s="116" t="s">
        <v>5</v>
      </c>
      <c r="C85" s="116"/>
      <c r="D85" s="116"/>
      <c r="E85" s="116" t="s">
        <v>292</v>
      </c>
      <c r="F85" s="116" t="s">
        <v>89</v>
      </c>
      <c r="G85" s="9" t="s">
        <v>7</v>
      </c>
      <c r="H85" s="9" t="s">
        <v>8</v>
      </c>
      <c r="I85" s="9" t="s">
        <v>9</v>
      </c>
      <c r="J85" s="9" t="s">
        <v>10</v>
      </c>
      <c r="K85" s="116" t="s">
        <v>293</v>
      </c>
      <c r="L85" s="116" t="s">
        <v>89</v>
      </c>
      <c r="M85" s="9" t="s">
        <v>7</v>
      </c>
      <c r="N85" s="9" t="s">
        <v>8</v>
      </c>
      <c r="O85" s="9" t="s">
        <v>9</v>
      </c>
      <c r="P85" s="9" t="s">
        <v>10</v>
      </c>
      <c r="Q85" s="9" t="s">
        <v>7</v>
      </c>
      <c r="R85" s="9" t="s">
        <v>8</v>
      </c>
      <c r="S85" s="116" t="s">
        <v>89</v>
      </c>
      <c r="T85" s="116" t="s">
        <v>294</v>
      </c>
      <c r="U85" s="9" t="s">
        <v>7</v>
      </c>
      <c r="V85" s="9" t="s">
        <v>8</v>
      </c>
      <c r="W85" s="116" t="s">
        <v>89</v>
      </c>
      <c r="X85" s="116" t="s">
        <v>294</v>
      </c>
      <c r="Y85" s="116" t="s">
        <v>140</v>
      </c>
      <c r="Z85" s="9" t="s">
        <v>7</v>
      </c>
      <c r="AA85" s="9" t="s">
        <v>8</v>
      </c>
      <c r="AB85" s="116" t="s">
        <v>89</v>
      </c>
      <c r="AC85" s="116" t="s">
        <v>294</v>
      </c>
      <c r="AD85" s="9" t="s">
        <v>7</v>
      </c>
      <c r="AE85" s="9" t="s">
        <v>9</v>
      </c>
      <c r="AF85" s="9" t="s">
        <v>6</v>
      </c>
      <c r="AG85" s="9" t="s">
        <v>7</v>
      </c>
      <c r="AH85" s="9" t="s">
        <v>9</v>
      </c>
      <c r="AI85" s="9" t="s">
        <v>6</v>
      </c>
      <c r="AJ85" s="116" t="s">
        <v>11</v>
      </c>
      <c r="AK85" s="9" t="s">
        <v>10</v>
      </c>
      <c r="AL85" s="9" t="s">
        <v>295</v>
      </c>
      <c r="AM85" s="9" t="s">
        <v>9</v>
      </c>
      <c r="AN85" s="116" t="s">
        <v>296</v>
      </c>
      <c r="AO85" s="116"/>
    </row>
    <row r="86" spans="2:41" ht="27.6" x14ac:dyDescent="0.3">
      <c r="B86" s="116"/>
      <c r="C86" s="116"/>
      <c r="D86" s="116"/>
      <c r="E86" s="116"/>
      <c r="F86" s="116"/>
      <c r="G86" s="17" t="s">
        <v>220</v>
      </c>
      <c r="H86" s="17" t="s">
        <v>220</v>
      </c>
      <c r="I86" s="17" t="s">
        <v>220</v>
      </c>
      <c r="J86" s="17" t="s">
        <v>54</v>
      </c>
      <c r="K86" s="116"/>
      <c r="L86" s="116"/>
      <c r="M86" s="17" t="s">
        <v>220</v>
      </c>
      <c r="N86" s="17" t="s">
        <v>220</v>
      </c>
      <c r="O86" s="17" t="s">
        <v>220</v>
      </c>
      <c r="P86" s="17" t="s">
        <v>54</v>
      </c>
      <c r="Q86" s="17" t="s">
        <v>220</v>
      </c>
      <c r="R86" s="17" t="s">
        <v>220</v>
      </c>
      <c r="S86" s="116"/>
      <c r="T86" s="116"/>
      <c r="U86" s="17" t="s">
        <v>220</v>
      </c>
      <c r="V86" s="17" t="s">
        <v>220</v>
      </c>
      <c r="W86" s="116"/>
      <c r="X86" s="116"/>
      <c r="Y86" s="116"/>
      <c r="Z86" s="17" t="s">
        <v>220</v>
      </c>
      <c r="AA86" s="17" t="s">
        <v>220</v>
      </c>
      <c r="AB86" s="116"/>
      <c r="AC86" s="116"/>
      <c r="AD86" s="17" t="s">
        <v>220</v>
      </c>
      <c r="AE86" s="17" t="s">
        <v>297</v>
      </c>
      <c r="AF86" s="17" t="s">
        <v>13</v>
      </c>
      <c r="AG86" s="17" t="s">
        <v>220</v>
      </c>
      <c r="AH86" s="17" t="s">
        <v>297</v>
      </c>
      <c r="AI86" s="17" t="s">
        <v>13</v>
      </c>
      <c r="AJ86" s="116"/>
      <c r="AK86" s="17" t="s">
        <v>54</v>
      </c>
      <c r="AL86" s="17" t="s">
        <v>220</v>
      </c>
      <c r="AM86" s="17" t="s">
        <v>298</v>
      </c>
      <c r="AN86" s="9" t="s">
        <v>299</v>
      </c>
      <c r="AO86" s="9" t="s">
        <v>96</v>
      </c>
    </row>
    <row r="87" spans="2:41" x14ac:dyDescent="0.3">
      <c r="B87" s="116"/>
      <c r="C87" s="116"/>
      <c r="D87" s="116"/>
      <c r="E87" s="9"/>
      <c r="F87" s="72"/>
      <c r="G87" s="72"/>
      <c r="H87" s="72"/>
      <c r="I87" s="72"/>
      <c r="J87" s="17"/>
      <c r="K87" s="17"/>
      <c r="L87" s="83"/>
      <c r="M87" s="83"/>
      <c r="N87" s="83"/>
      <c r="O87" s="63"/>
      <c r="P87" s="63"/>
      <c r="Q87" s="72"/>
      <c r="R87" s="72"/>
      <c r="S87" s="72"/>
      <c r="T87" s="72"/>
      <c r="U87" s="17"/>
      <c r="V87" s="83"/>
      <c r="W87" s="83"/>
      <c r="X87" s="83"/>
      <c r="Y87" s="63"/>
      <c r="Z87" s="63"/>
      <c r="AA87" s="63"/>
      <c r="AB87" s="63"/>
      <c r="AC87" s="63"/>
      <c r="AD87" s="9"/>
      <c r="AE87" s="72"/>
      <c r="AF87" s="72"/>
      <c r="AG87" s="72"/>
      <c r="AH87" s="72"/>
      <c r="AI87" s="17"/>
      <c r="AJ87" s="52"/>
      <c r="AK87" s="99"/>
      <c r="AL87" s="99"/>
      <c r="AM87" s="99"/>
      <c r="AN87" s="99"/>
      <c r="AO87" s="77"/>
    </row>
    <row r="88" spans="2:41" x14ac:dyDescent="0.3">
      <c r="B88" s="116"/>
      <c r="C88" s="116"/>
      <c r="D88" s="116"/>
      <c r="E88" s="9"/>
      <c r="F88" s="72"/>
      <c r="G88" s="72"/>
      <c r="H88" s="72"/>
      <c r="I88" s="72"/>
      <c r="J88" s="17"/>
      <c r="K88" s="17"/>
      <c r="L88" s="83"/>
      <c r="M88" s="83"/>
      <c r="N88" s="83"/>
      <c r="O88" s="63"/>
      <c r="P88" s="63"/>
      <c r="Q88" s="72"/>
      <c r="R88" s="72"/>
      <c r="S88" s="72"/>
      <c r="T88" s="72"/>
      <c r="U88" s="17"/>
      <c r="V88" s="83"/>
      <c r="W88" s="83"/>
      <c r="X88" s="83"/>
      <c r="Y88" s="63"/>
      <c r="Z88" s="63"/>
      <c r="AA88" s="63"/>
      <c r="AB88" s="63"/>
      <c r="AC88" s="63"/>
      <c r="AD88" s="9"/>
      <c r="AE88" s="72"/>
      <c r="AF88" s="72"/>
      <c r="AG88" s="72"/>
      <c r="AH88" s="72"/>
      <c r="AI88" s="17"/>
      <c r="AJ88" s="9"/>
      <c r="AK88" s="72"/>
      <c r="AL88" s="72"/>
      <c r="AM88" s="52"/>
      <c r="AN88" s="72"/>
      <c r="AO88" s="17"/>
    </row>
    <row r="89" spans="2:41" x14ac:dyDescent="0.3">
      <c r="B89" s="116"/>
      <c r="C89" s="116"/>
      <c r="D89" s="116"/>
      <c r="E89" s="9"/>
      <c r="F89" s="72"/>
      <c r="G89" s="72"/>
      <c r="H89" s="72"/>
      <c r="I89" s="72"/>
      <c r="J89" s="17"/>
      <c r="K89" s="17"/>
      <c r="L89" s="83"/>
      <c r="M89" s="83"/>
      <c r="N89" s="83"/>
      <c r="O89" s="63"/>
      <c r="P89" s="63"/>
      <c r="Q89" s="72"/>
      <c r="R89" s="72"/>
      <c r="S89" s="72"/>
      <c r="T89" s="72"/>
      <c r="U89" s="17"/>
      <c r="V89" s="83"/>
      <c r="W89" s="83"/>
      <c r="X89" s="83"/>
      <c r="Y89" s="63"/>
      <c r="Z89" s="63"/>
      <c r="AA89" s="63"/>
      <c r="AB89" s="63"/>
      <c r="AC89" s="63"/>
      <c r="AD89" s="9"/>
      <c r="AE89" s="72"/>
      <c r="AF89" s="72"/>
      <c r="AG89" s="72"/>
      <c r="AH89" s="72"/>
      <c r="AI89" s="17"/>
      <c r="AJ89" s="9"/>
      <c r="AK89" s="72"/>
      <c r="AL89" s="72"/>
      <c r="AM89" s="17"/>
      <c r="AN89" s="72"/>
      <c r="AO89" s="17"/>
    </row>
    <row r="90" spans="2:41" x14ac:dyDescent="0.3">
      <c r="B90" s="116"/>
      <c r="C90" s="116"/>
      <c r="D90" s="116"/>
      <c r="E90" s="9"/>
      <c r="F90" s="72"/>
      <c r="G90" s="72"/>
      <c r="H90" s="72"/>
      <c r="I90" s="72"/>
      <c r="J90" s="17"/>
      <c r="K90" s="17"/>
      <c r="L90" s="83"/>
      <c r="M90" s="83"/>
      <c r="N90" s="83"/>
      <c r="O90" s="63"/>
      <c r="P90" s="63"/>
      <c r="Q90" s="72"/>
      <c r="R90" s="72"/>
      <c r="S90" s="72"/>
      <c r="T90" s="72"/>
      <c r="U90" s="17"/>
      <c r="V90" s="83"/>
      <c r="W90" s="83"/>
      <c r="X90" s="83"/>
      <c r="Y90" s="63"/>
      <c r="Z90" s="63"/>
      <c r="AA90" s="63"/>
      <c r="AB90" s="63"/>
      <c r="AC90" s="63"/>
      <c r="AD90" s="9"/>
      <c r="AE90" s="72"/>
      <c r="AF90" s="72"/>
      <c r="AG90" s="72"/>
      <c r="AH90" s="72"/>
      <c r="AI90" s="17"/>
      <c r="AJ90" s="9"/>
      <c r="AK90" s="72"/>
      <c r="AL90" s="72"/>
      <c r="AM90" s="72"/>
      <c r="AN90" s="72"/>
      <c r="AO90" s="17"/>
    </row>
    <row r="91" spans="2:41" x14ac:dyDescent="0.3">
      <c r="B91" s="116"/>
      <c r="C91" s="116"/>
      <c r="D91" s="116"/>
      <c r="E91" s="9"/>
      <c r="F91" s="72"/>
      <c r="G91" s="72"/>
      <c r="H91" s="72"/>
      <c r="I91" s="72"/>
      <c r="J91" s="17"/>
      <c r="K91" s="17"/>
      <c r="L91" s="83"/>
      <c r="M91" s="83"/>
      <c r="N91" s="83"/>
      <c r="O91" s="63"/>
      <c r="P91" s="63"/>
      <c r="Q91" s="72"/>
      <c r="R91" s="72"/>
      <c r="S91" s="72"/>
      <c r="T91" s="72"/>
      <c r="U91" s="17"/>
      <c r="V91" s="83"/>
      <c r="W91" s="83"/>
      <c r="X91" s="83"/>
      <c r="Y91" s="63"/>
      <c r="Z91" s="63"/>
      <c r="AA91" s="63"/>
      <c r="AB91" s="63"/>
      <c r="AC91" s="63"/>
      <c r="AD91" s="9"/>
      <c r="AE91" s="72"/>
      <c r="AF91" s="72"/>
      <c r="AG91" s="72"/>
      <c r="AH91" s="72"/>
      <c r="AI91" s="17"/>
      <c r="AJ91" s="9"/>
      <c r="AK91" s="72"/>
      <c r="AL91" s="72"/>
      <c r="AM91" s="72"/>
      <c r="AN91" s="72"/>
      <c r="AO91" s="17"/>
    </row>
    <row r="92" spans="2:41" x14ac:dyDescent="0.3">
      <c r="B92" s="116"/>
      <c r="C92" s="116"/>
      <c r="D92" s="116"/>
      <c r="E92" s="9"/>
      <c r="F92" s="72"/>
      <c r="G92" s="72"/>
      <c r="H92" s="72"/>
      <c r="I92" s="72"/>
      <c r="J92" s="17"/>
      <c r="K92" s="17"/>
      <c r="L92" s="83"/>
      <c r="M92" s="83"/>
      <c r="N92" s="83"/>
      <c r="O92" s="63"/>
      <c r="P92" s="63"/>
      <c r="Q92" s="72"/>
      <c r="R92" s="72"/>
      <c r="S92" s="72"/>
      <c r="T92" s="72"/>
      <c r="U92" s="17"/>
      <c r="V92" s="83"/>
      <c r="W92" s="83"/>
      <c r="X92" s="83"/>
      <c r="Y92" s="63"/>
      <c r="Z92" s="63"/>
      <c r="AA92" s="63"/>
      <c r="AB92" s="63"/>
      <c r="AC92" s="63"/>
      <c r="AD92" s="9"/>
      <c r="AE92" s="72"/>
      <c r="AF92" s="72"/>
      <c r="AG92" s="72"/>
      <c r="AH92" s="72"/>
      <c r="AI92" s="17"/>
      <c r="AJ92" s="9"/>
      <c r="AK92" s="72"/>
      <c r="AL92" s="72"/>
      <c r="AM92" s="72"/>
      <c r="AN92" s="72"/>
      <c r="AO92" s="17"/>
    </row>
    <row r="93" spans="2:41" x14ac:dyDescent="0.3">
      <c r="B93" s="116"/>
      <c r="C93" s="116"/>
      <c r="D93" s="116"/>
      <c r="E93" s="9"/>
      <c r="F93" s="72"/>
      <c r="G93" s="72"/>
      <c r="H93" s="72"/>
      <c r="I93" s="72"/>
      <c r="J93" s="17"/>
      <c r="K93" s="17"/>
      <c r="L93" s="83"/>
      <c r="M93" s="83"/>
      <c r="N93" s="83"/>
      <c r="O93" s="63"/>
      <c r="P93" s="63"/>
      <c r="Q93" s="72"/>
      <c r="R93" s="72"/>
      <c r="S93" s="72"/>
      <c r="T93" s="72"/>
      <c r="U93" s="17"/>
      <c r="V93" s="83"/>
      <c r="W93" s="83"/>
      <c r="X93" s="83"/>
      <c r="Y93" s="63"/>
      <c r="Z93" s="63"/>
      <c r="AA93" s="63"/>
      <c r="AB93" s="63"/>
      <c r="AC93" s="63"/>
      <c r="AD93" s="9"/>
      <c r="AE93" s="72"/>
      <c r="AF93" s="72"/>
      <c r="AG93" s="72"/>
      <c r="AH93" s="72"/>
      <c r="AI93" s="17"/>
      <c r="AJ93" s="9"/>
      <c r="AK93" s="72"/>
      <c r="AL93" s="72"/>
      <c r="AM93" s="72"/>
      <c r="AN93" s="72"/>
      <c r="AO93" s="17"/>
    </row>
    <row r="94" spans="2:41" x14ac:dyDescent="0.3">
      <c r="B94" s="116"/>
      <c r="C94" s="116"/>
      <c r="D94" s="116"/>
      <c r="E94" s="9"/>
      <c r="F94" s="72"/>
      <c r="G94" s="72"/>
      <c r="H94" s="72"/>
      <c r="I94" s="72"/>
      <c r="J94" s="17"/>
      <c r="K94" s="17"/>
      <c r="L94" s="83"/>
      <c r="M94" s="83"/>
      <c r="N94" s="83"/>
      <c r="O94" s="63"/>
      <c r="P94" s="63"/>
      <c r="Q94" s="72"/>
      <c r="R94" s="72"/>
      <c r="S94" s="72"/>
      <c r="T94" s="72"/>
      <c r="U94" s="17"/>
      <c r="V94" s="83"/>
      <c r="W94" s="83"/>
      <c r="X94" s="83"/>
      <c r="Y94" s="63"/>
      <c r="Z94" s="63"/>
      <c r="AA94" s="63"/>
      <c r="AB94" s="63"/>
      <c r="AC94" s="63"/>
      <c r="AD94" s="9"/>
      <c r="AE94" s="72"/>
      <c r="AF94" s="72"/>
      <c r="AG94" s="72"/>
      <c r="AH94" s="72"/>
      <c r="AI94" s="17"/>
      <c r="AJ94" s="9"/>
      <c r="AK94" s="72"/>
      <c r="AL94" s="72"/>
      <c r="AM94" s="72"/>
      <c r="AN94" s="72"/>
      <c r="AO94" s="17"/>
    </row>
    <row r="95" spans="2:41" x14ac:dyDescent="0.3">
      <c r="B95" s="116"/>
      <c r="C95" s="116"/>
      <c r="D95" s="116"/>
      <c r="E95" s="82"/>
      <c r="F95" s="79"/>
      <c r="G95" s="79"/>
      <c r="H95" s="79"/>
      <c r="I95" s="79"/>
      <c r="J95" s="39"/>
      <c r="K95" s="39"/>
      <c r="L95" s="39"/>
      <c r="M95" s="68"/>
      <c r="N95" s="68"/>
      <c r="O95" s="63"/>
      <c r="P95" s="63"/>
      <c r="Q95" s="79"/>
      <c r="R95" s="79"/>
      <c r="S95" s="79"/>
      <c r="T95" s="79"/>
      <c r="U95" s="39"/>
      <c r="V95" s="39"/>
      <c r="W95" s="68"/>
      <c r="X95" s="68"/>
      <c r="Y95" s="63"/>
      <c r="Z95" s="63"/>
      <c r="AA95" s="63"/>
      <c r="AB95" s="63"/>
      <c r="AC95" s="63"/>
      <c r="AD95" s="82"/>
      <c r="AE95" s="79"/>
      <c r="AF95" s="79"/>
      <c r="AG95" s="79"/>
      <c r="AH95" s="79"/>
      <c r="AI95" s="39"/>
      <c r="AJ95" s="82"/>
      <c r="AK95" s="79"/>
      <c r="AL95" s="79"/>
      <c r="AM95" s="79"/>
      <c r="AN95" s="79"/>
      <c r="AO95" s="39"/>
    </row>
    <row r="96" spans="2:41" x14ac:dyDescent="0.3">
      <c r="B96" s="116"/>
      <c r="C96" s="116"/>
      <c r="D96" s="116"/>
      <c r="E96" s="82"/>
      <c r="F96" s="79"/>
      <c r="G96" s="79"/>
      <c r="H96" s="79"/>
      <c r="I96" s="79"/>
      <c r="J96" s="79"/>
      <c r="K96" s="79"/>
      <c r="L96" s="39"/>
      <c r="M96" s="68"/>
      <c r="N96" s="39"/>
      <c r="O96" s="63"/>
      <c r="P96" s="63"/>
      <c r="Q96" s="79"/>
      <c r="R96" s="79"/>
      <c r="S96" s="79"/>
      <c r="T96" s="79"/>
      <c r="U96" s="79"/>
      <c r="V96" s="39"/>
      <c r="W96" s="68"/>
      <c r="X96" s="39"/>
      <c r="Y96" s="63"/>
      <c r="Z96" s="63"/>
      <c r="AA96" s="63"/>
      <c r="AB96" s="63"/>
      <c r="AC96" s="63"/>
      <c r="AD96" s="82"/>
      <c r="AE96" s="79"/>
      <c r="AF96" s="79"/>
      <c r="AG96" s="79"/>
      <c r="AH96" s="79"/>
      <c r="AI96" s="79"/>
      <c r="AJ96" s="82"/>
      <c r="AK96" s="79"/>
      <c r="AL96" s="79"/>
      <c r="AM96" s="79"/>
      <c r="AN96" s="79"/>
      <c r="AO96" s="79"/>
    </row>
    <row r="97" spans="2:41" x14ac:dyDescent="0.3">
      <c r="B97" s="116"/>
      <c r="C97" s="116"/>
      <c r="D97" s="116"/>
      <c r="E97" s="82"/>
      <c r="F97" s="79"/>
      <c r="G97" s="79"/>
      <c r="H97" s="79"/>
      <c r="I97" s="79"/>
      <c r="J97" s="39"/>
      <c r="K97" s="39"/>
      <c r="L97" s="39"/>
      <c r="M97" s="68"/>
      <c r="N97" s="68"/>
      <c r="O97" s="63"/>
      <c r="P97" s="63"/>
      <c r="Q97" s="79"/>
      <c r="R97" s="79"/>
      <c r="S97" s="79"/>
      <c r="T97" s="79"/>
      <c r="U97" s="39"/>
      <c r="V97" s="39"/>
      <c r="W97" s="68"/>
      <c r="X97" s="68"/>
      <c r="Y97" s="63"/>
      <c r="Z97" s="63"/>
      <c r="AA97" s="63"/>
      <c r="AB97" s="63"/>
      <c r="AC97" s="63"/>
      <c r="AD97" s="82"/>
      <c r="AE97" s="79"/>
      <c r="AF97" s="79"/>
      <c r="AG97" s="79"/>
      <c r="AH97" s="79"/>
      <c r="AI97" s="39"/>
      <c r="AJ97" s="82"/>
      <c r="AK97" s="79"/>
      <c r="AL97" s="79"/>
      <c r="AM97" s="79"/>
      <c r="AN97" s="79"/>
      <c r="AO97" s="39"/>
    </row>
    <row r="98" spans="2:41" x14ac:dyDescent="0.3">
      <c r="B98" s="116"/>
      <c r="C98" s="116"/>
      <c r="D98" s="116"/>
      <c r="E98" s="82"/>
      <c r="F98" s="79"/>
      <c r="G98" s="79"/>
      <c r="H98" s="79"/>
      <c r="I98" s="79"/>
      <c r="J98" s="39"/>
      <c r="K98" s="39"/>
      <c r="L98" s="39"/>
      <c r="M98" s="68"/>
      <c r="N98" s="68"/>
      <c r="O98" s="63"/>
      <c r="P98" s="63"/>
      <c r="Q98" s="79"/>
      <c r="R98" s="79"/>
      <c r="S98" s="79"/>
      <c r="T98" s="79"/>
      <c r="U98" s="39"/>
      <c r="V98" s="39"/>
      <c r="W98" s="68"/>
      <c r="X98" s="68"/>
      <c r="Y98" s="63"/>
      <c r="Z98" s="63"/>
      <c r="AA98" s="63"/>
      <c r="AB98" s="63"/>
      <c r="AC98" s="63"/>
      <c r="AD98" s="82"/>
      <c r="AE98" s="79"/>
      <c r="AF98" s="79"/>
      <c r="AG98" s="79"/>
      <c r="AH98" s="79"/>
      <c r="AI98" s="39"/>
      <c r="AJ98" s="82"/>
      <c r="AK98" s="79"/>
      <c r="AL98" s="79"/>
      <c r="AM98" s="79"/>
      <c r="AN98" s="79"/>
      <c r="AO98" s="39"/>
    </row>
    <row r="99" spans="2:41" x14ac:dyDescent="0.3">
      <c r="B99" s="116"/>
      <c r="C99" s="116"/>
      <c r="D99" s="116"/>
      <c r="E99" s="82"/>
      <c r="F99" s="79"/>
      <c r="G99" s="79"/>
      <c r="H99" s="79"/>
      <c r="I99" s="79"/>
      <c r="J99" s="39"/>
      <c r="K99" s="39"/>
      <c r="L99" s="39"/>
      <c r="M99" s="68"/>
      <c r="N99" s="68"/>
      <c r="O99" s="63"/>
      <c r="P99" s="63"/>
      <c r="Q99" s="79"/>
      <c r="R99" s="79"/>
      <c r="S99" s="79"/>
      <c r="T99" s="79"/>
      <c r="U99" s="39"/>
      <c r="V99" s="39"/>
      <c r="W99" s="68"/>
      <c r="X99" s="68"/>
      <c r="Y99" s="63"/>
      <c r="Z99" s="63"/>
      <c r="AA99" s="63"/>
      <c r="AB99" s="63"/>
      <c r="AC99" s="63"/>
      <c r="AD99" s="82"/>
      <c r="AE99" s="79"/>
      <c r="AF99" s="79"/>
      <c r="AG99" s="79"/>
      <c r="AH99" s="79"/>
      <c r="AI99" s="39"/>
      <c r="AJ99" s="82"/>
      <c r="AK99" s="79"/>
      <c r="AL99" s="79"/>
      <c r="AM99" s="79"/>
      <c r="AN99" s="79"/>
      <c r="AO99" s="39"/>
    </row>
    <row r="100" spans="2:41" x14ac:dyDescent="0.3">
      <c r="B100" s="116"/>
      <c r="C100" s="116"/>
      <c r="D100" s="116"/>
      <c r="E100" s="82"/>
      <c r="F100" s="79"/>
      <c r="G100" s="79"/>
      <c r="H100" s="79"/>
      <c r="I100" s="79"/>
      <c r="J100" s="39"/>
      <c r="K100" s="39"/>
      <c r="L100" s="39"/>
      <c r="M100" s="68"/>
      <c r="N100" s="68"/>
      <c r="O100" s="63"/>
      <c r="P100" s="63"/>
      <c r="Q100" s="79"/>
      <c r="R100" s="79"/>
      <c r="S100" s="79"/>
      <c r="T100" s="79"/>
      <c r="U100" s="39"/>
      <c r="V100" s="39"/>
      <c r="W100" s="68"/>
      <c r="X100" s="68"/>
      <c r="Y100" s="63"/>
      <c r="Z100" s="63"/>
      <c r="AA100" s="63"/>
      <c r="AB100" s="63"/>
      <c r="AC100" s="63"/>
      <c r="AD100" s="82"/>
      <c r="AE100" s="79"/>
      <c r="AF100" s="79"/>
      <c r="AG100" s="79"/>
      <c r="AH100" s="79"/>
      <c r="AI100" s="39"/>
      <c r="AJ100" s="82"/>
      <c r="AK100" s="79"/>
      <c r="AL100" s="79"/>
      <c r="AM100" s="79"/>
      <c r="AN100" s="79"/>
      <c r="AO100" s="39"/>
    </row>
    <row r="101" spans="2:41" x14ac:dyDescent="0.3">
      <c r="B101" s="116"/>
      <c r="C101" s="116"/>
      <c r="D101" s="116"/>
      <c r="E101" s="82"/>
      <c r="F101" s="79"/>
      <c r="G101" s="79"/>
      <c r="H101" s="79"/>
      <c r="I101" s="79"/>
      <c r="J101" s="39"/>
      <c r="K101" s="39"/>
      <c r="L101" s="39"/>
      <c r="M101" s="68"/>
      <c r="N101" s="68"/>
      <c r="O101" s="63"/>
      <c r="P101" s="63"/>
      <c r="Q101" s="79"/>
      <c r="R101" s="79"/>
      <c r="S101" s="79"/>
      <c r="T101" s="79"/>
      <c r="U101" s="39"/>
      <c r="V101" s="39"/>
      <c r="W101" s="68"/>
      <c r="X101" s="68"/>
      <c r="Y101" s="63"/>
      <c r="Z101" s="63"/>
      <c r="AA101" s="63"/>
      <c r="AB101" s="63"/>
      <c r="AC101" s="63"/>
      <c r="AD101" s="82"/>
      <c r="AE101" s="79"/>
      <c r="AF101" s="79"/>
      <c r="AG101" s="79"/>
      <c r="AH101" s="79"/>
      <c r="AI101" s="39"/>
      <c r="AJ101" s="82"/>
      <c r="AK101" s="79"/>
      <c r="AL101" s="79"/>
      <c r="AM101" s="79"/>
      <c r="AN101" s="79"/>
      <c r="AO101" s="39"/>
    </row>
    <row r="102" spans="2:41" x14ac:dyDescent="0.3">
      <c r="B102" s="116"/>
      <c r="C102" s="116"/>
      <c r="D102" s="116"/>
      <c r="E102" s="82"/>
      <c r="F102" s="79"/>
      <c r="G102" s="79"/>
      <c r="H102" s="79"/>
      <c r="I102" s="79"/>
      <c r="J102" s="39"/>
      <c r="K102" s="39"/>
      <c r="L102" s="39"/>
      <c r="M102" s="68"/>
      <c r="N102" s="68"/>
      <c r="O102" s="63"/>
      <c r="P102" s="63"/>
      <c r="Q102" s="79"/>
      <c r="R102" s="79"/>
      <c r="S102" s="79"/>
      <c r="T102" s="79"/>
      <c r="U102" s="39"/>
      <c r="V102" s="39"/>
      <c r="W102" s="68"/>
      <c r="X102" s="68"/>
      <c r="Y102" s="63"/>
      <c r="Z102" s="63"/>
      <c r="AA102" s="63"/>
      <c r="AB102" s="63"/>
      <c r="AC102" s="63"/>
      <c r="AD102" s="82"/>
      <c r="AE102" s="79"/>
      <c r="AF102" s="79"/>
      <c r="AG102" s="79"/>
      <c r="AH102" s="79"/>
      <c r="AI102" s="39"/>
      <c r="AJ102" s="82"/>
      <c r="AK102" s="79"/>
      <c r="AL102" s="79"/>
      <c r="AM102" s="79"/>
      <c r="AN102" s="79"/>
      <c r="AO102" s="39"/>
    </row>
    <row r="103" spans="2:41" x14ac:dyDescent="0.3">
      <c r="B103" s="116"/>
      <c r="C103" s="116"/>
      <c r="D103" s="116"/>
      <c r="E103" s="82"/>
      <c r="F103" s="79"/>
      <c r="G103" s="79"/>
      <c r="H103" s="79"/>
      <c r="I103" s="79"/>
      <c r="J103" s="39"/>
      <c r="K103" s="39"/>
      <c r="L103" s="39"/>
      <c r="M103" s="68"/>
      <c r="N103" s="68"/>
      <c r="O103" s="63"/>
      <c r="P103" s="63"/>
      <c r="Q103" s="79"/>
      <c r="R103" s="79"/>
      <c r="S103" s="79"/>
      <c r="T103" s="79"/>
      <c r="U103" s="39"/>
      <c r="V103" s="39"/>
      <c r="W103" s="68"/>
      <c r="X103" s="68"/>
      <c r="Y103" s="63"/>
      <c r="Z103" s="63"/>
      <c r="AA103" s="63"/>
      <c r="AB103" s="63"/>
      <c r="AC103" s="63"/>
      <c r="AD103" s="82"/>
      <c r="AE103" s="79"/>
      <c r="AF103" s="79"/>
      <c r="AG103" s="79"/>
      <c r="AH103" s="79"/>
      <c r="AI103" s="39"/>
      <c r="AJ103" s="82"/>
      <c r="AK103" s="79"/>
      <c r="AL103" s="79"/>
      <c r="AM103" s="79"/>
      <c r="AN103" s="79"/>
      <c r="AO103" s="39"/>
    </row>
    <row r="104" spans="2:41" x14ac:dyDescent="0.3">
      <c r="B104" s="116"/>
      <c r="C104" s="116"/>
      <c r="D104" s="116"/>
      <c r="E104" s="82"/>
      <c r="F104" s="79"/>
      <c r="G104" s="79"/>
      <c r="H104" s="79"/>
      <c r="I104" s="79"/>
      <c r="J104" s="39"/>
      <c r="K104" s="39"/>
      <c r="L104" s="39"/>
      <c r="M104" s="68"/>
      <c r="N104" s="68"/>
      <c r="O104" s="63"/>
      <c r="P104" s="63"/>
      <c r="Q104" s="79"/>
      <c r="R104" s="79"/>
      <c r="S104" s="79"/>
      <c r="T104" s="79"/>
      <c r="U104" s="39"/>
      <c r="V104" s="39"/>
      <c r="W104" s="68"/>
      <c r="X104" s="68"/>
      <c r="Y104" s="63"/>
      <c r="Z104" s="63"/>
      <c r="AA104" s="63"/>
      <c r="AB104" s="63"/>
      <c r="AC104" s="63"/>
      <c r="AD104" s="82"/>
      <c r="AE104" s="79"/>
      <c r="AF104" s="79"/>
      <c r="AG104" s="79"/>
      <c r="AH104" s="79"/>
      <c r="AI104" s="39"/>
      <c r="AJ104" s="82"/>
      <c r="AK104" s="79"/>
      <c r="AL104" s="79"/>
      <c r="AM104" s="79"/>
      <c r="AN104" s="79"/>
      <c r="AO104" s="39"/>
    </row>
    <row r="105" spans="2:41" x14ac:dyDescent="0.3">
      <c r="B105" s="116"/>
      <c r="C105" s="116"/>
      <c r="D105" s="116"/>
      <c r="E105" s="82"/>
      <c r="F105" s="79"/>
      <c r="G105" s="79"/>
      <c r="H105" s="79"/>
      <c r="I105" s="79"/>
      <c r="J105" s="39"/>
      <c r="K105" s="39"/>
      <c r="L105" s="39"/>
      <c r="M105" s="68"/>
      <c r="N105" s="39"/>
      <c r="O105" s="63"/>
      <c r="P105" s="63"/>
      <c r="Q105" s="79"/>
      <c r="R105" s="79"/>
      <c r="S105" s="79"/>
      <c r="T105" s="79"/>
      <c r="U105" s="39"/>
      <c r="V105" s="39"/>
      <c r="W105" s="68"/>
      <c r="X105" s="39"/>
      <c r="Y105" s="63"/>
      <c r="Z105" s="63"/>
      <c r="AA105" s="63"/>
      <c r="AB105" s="63"/>
      <c r="AC105" s="63"/>
      <c r="AD105" s="82"/>
      <c r="AE105" s="79"/>
      <c r="AF105" s="79"/>
      <c r="AG105" s="79"/>
      <c r="AH105" s="79"/>
      <c r="AI105" s="39"/>
      <c r="AJ105" s="82"/>
      <c r="AK105" s="79"/>
      <c r="AL105" s="79"/>
      <c r="AM105" s="79"/>
      <c r="AN105" s="79"/>
      <c r="AO105" s="39"/>
    </row>
    <row r="106" spans="2:41" x14ac:dyDescent="0.3">
      <c r="B106" s="116"/>
      <c r="C106" s="116"/>
      <c r="D106" s="116"/>
      <c r="E106" s="82"/>
      <c r="F106" s="79"/>
      <c r="G106" s="79"/>
      <c r="H106" s="79"/>
      <c r="I106" s="79"/>
      <c r="J106" s="39"/>
      <c r="K106" s="39"/>
      <c r="L106" s="39"/>
      <c r="M106" s="68"/>
      <c r="N106" s="39"/>
      <c r="O106" s="63"/>
      <c r="P106" s="63"/>
      <c r="Q106" s="79"/>
      <c r="R106" s="79"/>
      <c r="S106" s="79"/>
      <c r="T106" s="79"/>
      <c r="U106" s="39"/>
      <c r="V106" s="39"/>
      <c r="W106" s="68"/>
      <c r="X106" s="39"/>
      <c r="Y106" s="63"/>
      <c r="Z106" s="63"/>
      <c r="AA106" s="63"/>
      <c r="AB106" s="63"/>
      <c r="AC106" s="63"/>
      <c r="AD106" s="82"/>
      <c r="AE106" s="79"/>
      <c r="AF106" s="79"/>
      <c r="AG106" s="79"/>
      <c r="AH106" s="79"/>
      <c r="AI106" s="39"/>
      <c r="AJ106" s="82"/>
      <c r="AK106" s="79"/>
      <c r="AL106" s="79"/>
      <c r="AM106" s="79"/>
      <c r="AN106" s="79"/>
      <c r="AO106" s="39"/>
    </row>
    <row r="107" spans="2:41" ht="14.1" customHeight="1" x14ac:dyDescent="0.3">
      <c r="B107" s="132" t="s">
        <v>29</v>
      </c>
      <c r="C107" s="132"/>
      <c r="D107" s="132"/>
      <c r="E107" s="132"/>
      <c r="F107" s="132"/>
      <c r="G107" s="132"/>
      <c r="H107" s="132"/>
      <c r="I107" s="54">
        <f>SUM(I87:I106)</f>
        <v>0</v>
      </c>
      <c r="J107" s="54"/>
      <c r="K107" s="54"/>
      <c r="L107" s="54"/>
      <c r="M107" s="54"/>
      <c r="N107" s="54">
        <f>SUM(N87:N106)</f>
        <v>0</v>
      </c>
      <c r="O107" s="54"/>
      <c r="P107" s="54"/>
      <c r="Q107" s="100"/>
      <c r="R107" s="100"/>
      <c r="S107" s="100"/>
      <c r="T107" s="54">
        <f>SUM(T87:T106)</f>
        <v>0</v>
      </c>
      <c r="U107" s="54"/>
      <c r="V107" s="54"/>
      <c r="W107" s="54"/>
      <c r="X107" s="54">
        <f>SUM(X87:X106)</f>
        <v>0</v>
      </c>
      <c r="Y107" s="54"/>
      <c r="Z107" s="54"/>
      <c r="AA107" s="54"/>
      <c r="AB107" s="54"/>
      <c r="AC107" s="54">
        <f>SUM(AC87:AC106)</f>
        <v>0</v>
      </c>
    </row>
    <row r="110" spans="2:41" x14ac:dyDescent="0.3">
      <c r="B110" s="14"/>
      <c r="C110" s="3"/>
      <c r="D110" s="101"/>
      <c r="E110" s="117" t="s">
        <v>26</v>
      </c>
      <c r="F110" s="117"/>
      <c r="G110" s="117"/>
      <c r="H110" s="117"/>
      <c r="I110" s="117"/>
      <c r="J110" s="117"/>
      <c r="K110" s="117" t="s">
        <v>300</v>
      </c>
      <c r="L110" s="117"/>
      <c r="M110" s="117"/>
      <c r="N110" s="117"/>
      <c r="O110" s="117" t="s">
        <v>301</v>
      </c>
      <c r="P110" s="117"/>
      <c r="Q110" s="117"/>
      <c r="R110" s="117"/>
    </row>
    <row r="111" spans="2:41" ht="14.1" customHeight="1" x14ac:dyDescent="0.3">
      <c r="B111" s="116" t="s">
        <v>5</v>
      </c>
      <c r="C111" s="116"/>
      <c r="D111" s="116"/>
      <c r="E111" s="158" t="s">
        <v>302</v>
      </c>
      <c r="F111" s="158" t="s">
        <v>303</v>
      </c>
      <c r="G111" s="158" t="s">
        <v>304</v>
      </c>
      <c r="H111" s="158" t="s">
        <v>305</v>
      </c>
      <c r="I111" s="158" t="s">
        <v>306</v>
      </c>
      <c r="J111" s="158" t="s">
        <v>37</v>
      </c>
      <c r="K111" s="116" t="s">
        <v>89</v>
      </c>
      <c r="L111" s="9" t="s">
        <v>6</v>
      </c>
      <c r="M111" s="9" t="s">
        <v>307</v>
      </c>
      <c r="N111" s="9" t="s">
        <v>308</v>
      </c>
      <c r="O111" s="116" t="s">
        <v>89</v>
      </c>
      <c r="P111" s="9" t="s">
        <v>6</v>
      </c>
      <c r="Q111" s="9" t="s">
        <v>307</v>
      </c>
      <c r="R111" s="9" t="s">
        <v>308</v>
      </c>
    </row>
    <row r="112" spans="2:41" x14ac:dyDescent="0.3">
      <c r="B112" s="116"/>
      <c r="C112" s="116"/>
      <c r="D112" s="116"/>
      <c r="E112" s="158"/>
      <c r="F112" s="158"/>
      <c r="G112" s="158"/>
      <c r="H112" s="158"/>
      <c r="I112" s="158"/>
      <c r="J112" s="158"/>
      <c r="K112" s="116"/>
      <c r="L112" s="17" t="s">
        <v>13</v>
      </c>
      <c r="M112" s="17" t="s">
        <v>298</v>
      </c>
      <c r="N112" s="17" t="s">
        <v>13</v>
      </c>
      <c r="O112" s="116"/>
      <c r="P112" s="17" t="s">
        <v>13</v>
      </c>
      <c r="Q112" s="17" t="s">
        <v>298</v>
      </c>
      <c r="R112" s="17" t="s">
        <v>13</v>
      </c>
    </row>
    <row r="113" spans="2:18" x14ac:dyDescent="0.3">
      <c r="B113" s="116"/>
      <c r="C113" s="116"/>
      <c r="D113" s="116"/>
      <c r="E113" s="9"/>
      <c r="F113" s="72"/>
      <c r="G113" s="72"/>
      <c r="H113" s="72"/>
      <c r="I113" s="72"/>
      <c r="J113" s="17"/>
      <c r="K113" s="17"/>
      <c r="L113" s="83"/>
      <c r="M113" s="83"/>
      <c r="N113" s="83"/>
      <c r="O113" s="63"/>
      <c r="P113" s="63"/>
      <c r="Q113" s="63"/>
      <c r="R113" s="63"/>
    </row>
    <row r="114" spans="2:18" x14ac:dyDescent="0.3">
      <c r="B114" s="116"/>
      <c r="C114" s="116"/>
      <c r="D114" s="116"/>
      <c r="E114" s="9"/>
      <c r="F114" s="72"/>
      <c r="G114" s="72"/>
      <c r="H114" s="72"/>
      <c r="I114" s="72"/>
      <c r="J114" s="17"/>
      <c r="K114" s="17"/>
      <c r="L114" s="83"/>
      <c r="M114" s="83"/>
      <c r="N114" s="83"/>
      <c r="O114" s="63"/>
      <c r="P114" s="63"/>
      <c r="Q114" s="63"/>
      <c r="R114" s="63"/>
    </row>
    <row r="115" spans="2:18" x14ac:dyDescent="0.3">
      <c r="B115" s="116"/>
      <c r="C115" s="116"/>
      <c r="D115" s="116"/>
      <c r="E115" s="9"/>
      <c r="F115" s="72"/>
      <c r="G115" s="72"/>
      <c r="H115" s="72"/>
      <c r="I115" s="72"/>
      <c r="J115" s="17"/>
      <c r="K115" s="17"/>
      <c r="L115" s="83"/>
      <c r="M115" s="83"/>
      <c r="N115" s="83"/>
      <c r="O115" s="63"/>
      <c r="P115" s="63"/>
      <c r="Q115" s="63"/>
      <c r="R115" s="63"/>
    </row>
    <row r="116" spans="2:18" x14ac:dyDescent="0.3">
      <c r="B116" s="116"/>
      <c r="C116" s="116"/>
      <c r="D116" s="116"/>
      <c r="E116" s="9"/>
      <c r="F116" s="72"/>
      <c r="G116" s="72"/>
      <c r="H116" s="72"/>
      <c r="I116" s="72"/>
      <c r="J116" s="17"/>
      <c r="K116" s="17"/>
      <c r="L116" s="83"/>
      <c r="M116" s="83"/>
      <c r="N116" s="83"/>
      <c r="O116" s="63"/>
      <c r="P116" s="63"/>
      <c r="Q116" s="63"/>
      <c r="R116" s="63"/>
    </row>
    <row r="117" spans="2:18" x14ac:dyDescent="0.3">
      <c r="B117" s="116"/>
      <c r="C117" s="116"/>
      <c r="D117" s="116"/>
      <c r="E117" s="9"/>
      <c r="F117" s="72"/>
      <c r="G117" s="72"/>
      <c r="H117" s="72"/>
      <c r="I117" s="72"/>
      <c r="J117" s="17"/>
      <c r="K117" s="17"/>
      <c r="L117" s="83"/>
      <c r="M117" s="83"/>
      <c r="N117" s="83"/>
      <c r="O117" s="63"/>
      <c r="P117" s="63"/>
      <c r="Q117" s="63"/>
      <c r="R117" s="63"/>
    </row>
    <row r="118" spans="2:18" x14ac:dyDescent="0.3">
      <c r="B118" s="116"/>
      <c r="C118" s="116"/>
      <c r="D118" s="116"/>
      <c r="E118" s="9"/>
      <c r="F118" s="72"/>
      <c r="G118" s="72"/>
      <c r="H118" s="72"/>
      <c r="I118" s="72"/>
      <c r="J118" s="17"/>
      <c r="K118" s="17"/>
      <c r="L118" s="83"/>
      <c r="M118" s="83"/>
      <c r="N118" s="83"/>
      <c r="O118" s="63"/>
      <c r="P118" s="63"/>
      <c r="Q118" s="63"/>
      <c r="R118" s="63"/>
    </row>
    <row r="119" spans="2:18" x14ac:dyDescent="0.3">
      <c r="B119" s="116"/>
      <c r="C119" s="116"/>
      <c r="D119" s="116"/>
      <c r="E119" s="9"/>
      <c r="F119" s="72"/>
      <c r="G119" s="72"/>
      <c r="H119" s="72"/>
      <c r="I119" s="72"/>
      <c r="J119" s="17"/>
      <c r="K119" s="17"/>
      <c r="L119" s="83"/>
      <c r="M119" s="83"/>
      <c r="N119" s="83"/>
      <c r="O119" s="63"/>
      <c r="P119" s="63"/>
      <c r="Q119" s="63"/>
      <c r="R119" s="63"/>
    </row>
    <row r="120" spans="2:18" x14ac:dyDescent="0.3">
      <c r="B120" s="116"/>
      <c r="C120" s="116"/>
      <c r="D120" s="116"/>
      <c r="E120" s="9"/>
      <c r="F120" s="72"/>
      <c r="G120" s="72"/>
      <c r="H120" s="72"/>
      <c r="I120" s="72"/>
      <c r="J120" s="17"/>
      <c r="K120" s="17"/>
      <c r="L120" s="83"/>
      <c r="M120" s="83"/>
      <c r="N120" s="83"/>
      <c r="O120" s="63"/>
      <c r="P120" s="63"/>
      <c r="Q120" s="63"/>
      <c r="R120" s="63"/>
    </row>
    <row r="121" spans="2:18" x14ac:dyDescent="0.3">
      <c r="B121" s="116"/>
      <c r="C121" s="116"/>
      <c r="D121" s="116"/>
      <c r="E121" s="82"/>
      <c r="F121" s="79"/>
      <c r="G121" s="79"/>
      <c r="H121" s="79"/>
      <c r="I121" s="79"/>
      <c r="J121" s="39"/>
      <c r="K121" s="39"/>
      <c r="L121" s="39"/>
      <c r="M121" s="68"/>
      <c r="N121" s="68"/>
      <c r="O121" s="63"/>
      <c r="P121" s="63"/>
      <c r="Q121" s="63"/>
      <c r="R121" s="63"/>
    </row>
    <row r="122" spans="2:18" x14ac:dyDescent="0.3">
      <c r="B122" s="116"/>
      <c r="C122" s="116"/>
      <c r="D122" s="116"/>
      <c r="E122" s="82"/>
      <c r="F122" s="79"/>
      <c r="G122" s="79"/>
      <c r="H122" s="79"/>
      <c r="I122" s="79"/>
      <c r="J122" s="79"/>
      <c r="K122" s="79"/>
      <c r="L122" s="39"/>
      <c r="M122" s="68"/>
      <c r="N122" s="39"/>
      <c r="O122" s="63"/>
      <c r="P122" s="63"/>
      <c r="Q122" s="63"/>
      <c r="R122" s="63"/>
    </row>
    <row r="123" spans="2:18" x14ac:dyDescent="0.3">
      <c r="B123" s="116"/>
      <c r="C123" s="116"/>
      <c r="D123" s="116"/>
      <c r="E123" s="82"/>
      <c r="F123" s="79"/>
      <c r="G123" s="79"/>
      <c r="H123" s="79"/>
      <c r="I123" s="79"/>
      <c r="J123" s="39"/>
      <c r="K123" s="39"/>
      <c r="L123" s="39"/>
      <c r="M123" s="68"/>
      <c r="N123" s="68"/>
      <c r="O123" s="63"/>
      <c r="P123" s="63"/>
      <c r="Q123" s="63"/>
      <c r="R123" s="63"/>
    </row>
    <row r="124" spans="2:18" x14ac:dyDescent="0.3">
      <c r="B124" s="116"/>
      <c r="C124" s="116"/>
      <c r="D124" s="116"/>
      <c r="E124" s="82"/>
      <c r="F124" s="79"/>
      <c r="G124" s="79"/>
      <c r="H124" s="79"/>
      <c r="I124" s="79"/>
      <c r="J124" s="39"/>
      <c r="K124" s="39"/>
      <c r="L124" s="39"/>
      <c r="M124" s="68"/>
      <c r="N124" s="68"/>
      <c r="O124" s="63"/>
      <c r="P124" s="63"/>
      <c r="Q124" s="63"/>
      <c r="R124" s="63"/>
    </row>
    <row r="125" spans="2:18" x14ac:dyDescent="0.3">
      <c r="B125" s="116"/>
      <c r="C125" s="116"/>
      <c r="D125" s="116"/>
      <c r="E125" s="82"/>
      <c r="F125" s="79"/>
      <c r="G125" s="79"/>
      <c r="H125" s="79"/>
      <c r="I125" s="79"/>
      <c r="J125" s="39"/>
      <c r="K125" s="39"/>
      <c r="L125" s="39"/>
      <c r="M125" s="68"/>
      <c r="N125" s="68"/>
      <c r="O125" s="63"/>
      <c r="P125" s="63"/>
      <c r="Q125" s="63"/>
      <c r="R125" s="63"/>
    </row>
    <row r="126" spans="2:18" x14ac:dyDescent="0.3">
      <c r="B126" s="116"/>
      <c r="C126" s="116"/>
      <c r="D126" s="116"/>
      <c r="E126" s="82"/>
      <c r="F126" s="79"/>
      <c r="G126" s="79"/>
      <c r="H126" s="79"/>
      <c r="I126" s="79"/>
      <c r="J126" s="39"/>
      <c r="K126" s="39"/>
      <c r="L126" s="39"/>
      <c r="M126" s="68"/>
      <c r="N126" s="68"/>
      <c r="O126" s="63"/>
      <c r="P126" s="63"/>
      <c r="Q126" s="63"/>
      <c r="R126" s="63"/>
    </row>
    <row r="127" spans="2:18" x14ac:dyDescent="0.3">
      <c r="B127" s="116"/>
      <c r="C127" s="116"/>
      <c r="D127" s="116"/>
      <c r="E127" s="82"/>
      <c r="F127" s="79"/>
      <c r="G127" s="79"/>
      <c r="H127" s="79"/>
      <c r="I127" s="79"/>
      <c r="J127" s="39"/>
      <c r="K127" s="39"/>
      <c r="L127" s="39"/>
      <c r="M127" s="68"/>
      <c r="N127" s="68"/>
      <c r="O127" s="63"/>
      <c r="P127" s="63"/>
      <c r="Q127" s="63"/>
      <c r="R127" s="63"/>
    </row>
    <row r="128" spans="2:18" x14ac:dyDescent="0.3">
      <c r="B128" s="116"/>
      <c r="C128" s="116"/>
      <c r="D128" s="116"/>
      <c r="E128" s="82"/>
      <c r="F128" s="79"/>
      <c r="G128" s="79"/>
      <c r="H128" s="79"/>
      <c r="I128" s="79"/>
      <c r="J128" s="39"/>
      <c r="K128" s="39"/>
      <c r="L128" s="39"/>
      <c r="M128" s="68"/>
      <c r="N128" s="68"/>
      <c r="O128" s="63"/>
      <c r="P128" s="63"/>
      <c r="Q128" s="63"/>
      <c r="R128" s="63"/>
    </row>
    <row r="129" spans="2:30" x14ac:dyDescent="0.3">
      <c r="B129" s="116"/>
      <c r="C129" s="116"/>
      <c r="D129" s="116"/>
      <c r="E129" s="82"/>
      <c r="F129" s="79"/>
      <c r="G129" s="79"/>
      <c r="H129" s="79"/>
      <c r="I129" s="79"/>
      <c r="J129" s="39"/>
      <c r="K129" s="39"/>
      <c r="L129" s="39"/>
      <c r="M129" s="68"/>
      <c r="N129" s="68"/>
      <c r="O129" s="63"/>
      <c r="P129" s="63"/>
      <c r="Q129" s="63"/>
      <c r="R129" s="63"/>
    </row>
    <row r="130" spans="2:30" x14ac:dyDescent="0.3">
      <c r="B130" s="116"/>
      <c r="C130" s="116"/>
      <c r="D130" s="116"/>
      <c r="E130" s="82"/>
      <c r="F130" s="79"/>
      <c r="G130" s="79"/>
      <c r="H130" s="79"/>
      <c r="I130" s="79"/>
      <c r="J130" s="39"/>
      <c r="K130" s="39"/>
      <c r="L130" s="39"/>
      <c r="M130" s="68"/>
      <c r="N130" s="68"/>
      <c r="O130" s="63"/>
      <c r="P130" s="63"/>
      <c r="Q130" s="63"/>
      <c r="R130" s="63"/>
    </row>
    <row r="131" spans="2:30" x14ac:dyDescent="0.3">
      <c r="B131" s="116"/>
      <c r="C131" s="116"/>
      <c r="D131" s="116"/>
      <c r="E131" s="82"/>
      <c r="F131" s="79"/>
      <c r="G131" s="79"/>
      <c r="H131" s="79"/>
      <c r="I131" s="79"/>
      <c r="J131" s="39"/>
      <c r="K131" s="39"/>
      <c r="L131" s="39"/>
      <c r="M131" s="68"/>
      <c r="N131" s="39"/>
      <c r="O131" s="63"/>
      <c r="P131" s="63"/>
      <c r="Q131" s="63"/>
      <c r="R131" s="63"/>
    </row>
    <row r="132" spans="2:30" x14ac:dyDescent="0.3">
      <c r="B132" s="116"/>
      <c r="C132" s="116"/>
      <c r="D132" s="116"/>
      <c r="E132" s="82"/>
      <c r="F132" s="79"/>
      <c r="G132" s="79"/>
      <c r="H132" s="79"/>
      <c r="I132" s="79"/>
      <c r="J132" s="39"/>
      <c r="K132" s="39"/>
      <c r="L132" s="39"/>
      <c r="M132" s="68"/>
      <c r="N132" s="39"/>
      <c r="O132" s="63"/>
      <c r="P132" s="63"/>
      <c r="Q132" s="63"/>
      <c r="R132" s="63"/>
    </row>
    <row r="133" spans="2:30" ht="14.1" customHeight="1" x14ac:dyDescent="0.3">
      <c r="B133" s="132" t="s">
        <v>29</v>
      </c>
      <c r="C133" s="132"/>
      <c r="D133" s="132"/>
      <c r="E133" s="132"/>
      <c r="F133" s="132"/>
      <c r="G133" s="132"/>
      <c r="H133" s="132"/>
      <c r="I133" s="54">
        <f>SUM(I113:I132)</f>
        <v>0</v>
      </c>
      <c r="J133" s="54"/>
      <c r="K133" s="54"/>
      <c r="L133" s="54"/>
      <c r="M133" s="54"/>
      <c r="N133" s="54">
        <f>SUM(N113:N132)</f>
        <v>0</v>
      </c>
      <c r="O133" s="54"/>
      <c r="P133" s="54"/>
      <c r="Q133" s="54"/>
      <c r="R133" s="54"/>
    </row>
    <row r="136" spans="2:30" x14ac:dyDescent="0.3">
      <c r="C136" s="3"/>
      <c r="E136" s="117" t="s">
        <v>309</v>
      </c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 t="s">
        <v>310</v>
      </c>
      <c r="Q136" s="117"/>
      <c r="R136" s="117"/>
      <c r="S136" s="117"/>
      <c r="T136" s="117"/>
      <c r="U136" s="117"/>
      <c r="V136" s="117"/>
      <c r="W136" s="117"/>
      <c r="X136" s="117" t="s">
        <v>311</v>
      </c>
      <c r="Y136" s="117"/>
      <c r="Z136" s="117"/>
      <c r="AA136" s="117"/>
      <c r="AB136" s="117"/>
      <c r="AC136" s="117"/>
      <c r="AD136" s="117"/>
    </row>
    <row r="137" spans="2:30" ht="14.1" customHeight="1" x14ac:dyDescent="0.3">
      <c r="B137" s="116" t="s">
        <v>5</v>
      </c>
      <c r="C137" s="116"/>
      <c r="D137" s="116"/>
      <c r="E137" s="116" t="s">
        <v>2</v>
      </c>
      <c r="F137" s="116"/>
      <c r="G137" s="116" t="s">
        <v>312</v>
      </c>
      <c r="H137" s="116"/>
      <c r="I137" s="116"/>
      <c r="J137" s="116" t="s">
        <v>313</v>
      </c>
      <c r="K137" s="116"/>
      <c r="L137" s="116"/>
      <c r="M137" s="116" t="s">
        <v>314</v>
      </c>
      <c r="N137" s="116"/>
      <c r="O137" s="116"/>
      <c r="P137" s="116" t="s">
        <v>11</v>
      </c>
      <c r="Q137" s="116" t="s">
        <v>89</v>
      </c>
      <c r="R137" s="116" t="s">
        <v>140</v>
      </c>
      <c r="S137" s="116"/>
      <c r="T137" s="116"/>
      <c r="U137" s="116" t="s">
        <v>83</v>
      </c>
      <c r="V137" s="116"/>
      <c r="W137" s="116"/>
      <c r="X137" s="116" t="s">
        <v>11</v>
      </c>
      <c r="Y137" s="116" t="s">
        <v>89</v>
      </c>
      <c r="Z137" s="116" t="s">
        <v>140</v>
      </c>
      <c r="AA137" s="116"/>
      <c r="AB137" s="116"/>
      <c r="AC137" s="116"/>
      <c r="AD137" s="116"/>
    </row>
    <row r="138" spans="2:30" ht="27.6" x14ac:dyDescent="0.3">
      <c r="B138" s="116"/>
      <c r="C138" s="116"/>
      <c r="D138" s="116"/>
      <c r="E138" s="9" t="s">
        <v>10</v>
      </c>
      <c r="F138" s="9" t="s">
        <v>8</v>
      </c>
      <c r="G138" s="9" t="s">
        <v>7</v>
      </c>
      <c r="H138" s="9" t="s">
        <v>6</v>
      </c>
      <c r="I138" s="9" t="s">
        <v>9</v>
      </c>
      <c r="J138" s="9" t="s">
        <v>7</v>
      </c>
      <c r="K138" s="9" t="s">
        <v>6</v>
      </c>
      <c r="L138" s="9" t="s">
        <v>9</v>
      </c>
      <c r="M138" s="9" t="s">
        <v>7</v>
      </c>
      <c r="N138" s="9" t="s">
        <v>6</v>
      </c>
      <c r="O138" s="9" t="s">
        <v>9</v>
      </c>
      <c r="P138" s="116"/>
      <c r="Q138" s="116"/>
      <c r="R138" s="9" t="s">
        <v>6</v>
      </c>
      <c r="S138" s="9" t="s">
        <v>8</v>
      </c>
      <c r="T138" s="9" t="s">
        <v>10</v>
      </c>
      <c r="U138" s="9" t="s">
        <v>7</v>
      </c>
      <c r="V138" s="9" t="s">
        <v>8</v>
      </c>
      <c r="W138" s="9" t="s">
        <v>10</v>
      </c>
      <c r="X138" s="116"/>
      <c r="Y138" s="116"/>
      <c r="Z138" s="9" t="s">
        <v>7</v>
      </c>
      <c r="AA138" s="9" t="s">
        <v>6</v>
      </c>
      <c r="AB138" s="9" t="s">
        <v>9</v>
      </c>
      <c r="AC138" s="9" t="s">
        <v>315</v>
      </c>
      <c r="AD138" s="9" t="s">
        <v>10</v>
      </c>
    </row>
    <row r="139" spans="2:30" x14ac:dyDescent="0.3">
      <c r="B139" s="116"/>
      <c r="C139" s="116"/>
      <c r="D139" s="116"/>
      <c r="E139" s="17" t="s">
        <v>14</v>
      </c>
      <c r="F139" s="17" t="s">
        <v>13</v>
      </c>
      <c r="G139" s="17" t="s">
        <v>13</v>
      </c>
      <c r="H139" s="17" t="s">
        <v>13</v>
      </c>
      <c r="I139" s="17" t="s">
        <v>13</v>
      </c>
      <c r="J139" s="17" t="s">
        <v>13</v>
      </c>
      <c r="K139" s="17" t="s">
        <v>13</v>
      </c>
      <c r="L139" s="17" t="s">
        <v>13</v>
      </c>
      <c r="M139" s="17" t="s">
        <v>13</v>
      </c>
      <c r="N139" s="17" t="s">
        <v>13</v>
      </c>
      <c r="O139" s="17" t="s">
        <v>13</v>
      </c>
      <c r="P139" s="116"/>
      <c r="Q139" s="116"/>
      <c r="R139" s="17" t="s">
        <v>13</v>
      </c>
      <c r="S139" s="17" t="s">
        <v>13</v>
      </c>
      <c r="T139" s="17" t="s">
        <v>14</v>
      </c>
      <c r="U139" s="17" t="s">
        <v>13</v>
      </c>
      <c r="V139" s="17" t="s">
        <v>13</v>
      </c>
      <c r="W139" s="17" t="s">
        <v>14</v>
      </c>
      <c r="X139" s="116"/>
      <c r="Y139" s="116"/>
      <c r="Z139" s="17" t="s">
        <v>220</v>
      </c>
      <c r="AA139" s="17" t="s">
        <v>220</v>
      </c>
      <c r="AB139" s="17" t="s">
        <v>298</v>
      </c>
      <c r="AC139" s="17" t="s">
        <v>220</v>
      </c>
      <c r="AD139" s="17" t="s">
        <v>14</v>
      </c>
    </row>
    <row r="140" spans="2:30" x14ac:dyDescent="0.3">
      <c r="B140" s="116"/>
      <c r="C140" s="116"/>
      <c r="D140" s="116"/>
      <c r="E140" s="9"/>
      <c r="F140" s="72"/>
      <c r="G140" s="72"/>
      <c r="H140" s="72"/>
      <c r="I140" s="72"/>
      <c r="J140" s="17"/>
      <c r="K140" s="17"/>
      <c r="L140" s="83"/>
      <c r="M140" s="83"/>
      <c r="N140" s="83"/>
      <c r="O140" s="63"/>
      <c r="P140" s="52"/>
      <c r="Q140" s="99"/>
      <c r="R140" s="99"/>
      <c r="S140" s="99"/>
      <c r="T140" s="99"/>
      <c r="U140" s="77"/>
      <c r="V140" s="77"/>
      <c r="W140" s="63"/>
      <c r="X140" s="63"/>
      <c r="Y140" s="63"/>
      <c r="Z140" s="83"/>
      <c r="AA140" s="83"/>
      <c r="AB140" s="83"/>
      <c r="AC140" s="63"/>
      <c r="AD140" s="63"/>
    </row>
    <row r="141" spans="2:30" x14ac:dyDescent="0.3">
      <c r="B141" s="116"/>
      <c r="C141" s="116"/>
      <c r="D141" s="116"/>
      <c r="E141" s="9"/>
      <c r="F141" s="72"/>
      <c r="G141" s="72"/>
      <c r="H141" s="72"/>
      <c r="I141" s="72"/>
      <c r="J141" s="17"/>
      <c r="K141" s="17"/>
      <c r="L141" s="83"/>
      <c r="M141" s="83"/>
      <c r="N141" s="83"/>
      <c r="O141" s="63"/>
      <c r="P141" s="9"/>
      <c r="Q141" s="72"/>
      <c r="R141" s="72"/>
      <c r="S141" s="52"/>
      <c r="T141" s="72"/>
      <c r="U141" s="17"/>
      <c r="V141" s="17"/>
      <c r="W141" s="63"/>
      <c r="X141" s="63"/>
      <c r="Y141" s="63"/>
      <c r="Z141" s="83"/>
      <c r="AA141" s="83"/>
      <c r="AB141" s="83"/>
      <c r="AC141" s="63"/>
      <c r="AD141" s="63"/>
    </row>
    <row r="142" spans="2:30" x14ac:dyDescent="0.3">
      <c r="B142" s="116"/>
      <c r="C142" s="116"/>
      <c r="D142" s="116"/>
      <c r="E142" s="9"/>
      <c r="F142" s="72"/>
      <c r="G142" s="72"/>
      <c r="H142" s="72"/>
      <c r="I142" s="72"/>
      <c r="J142" s="17"/>
      <c r="K142" s="17"/>
      <c r="L142" s="83"/>
      <c r="M142" s="83"/>
      <c r="N142" s="83"/>
      <c r="O142" s="63"/>
      <c r="P142" s="9"/>
      <c r="Q142" s="72"/>
      <c r="R142" s="72"/>
      <c r="S142" s="17"/>
      <c r="T142" s="72"/>
      <c r="U142" s="17"/>
      <c r="V142" s="17"/>
      <c r="W142" s="63"/>
      <c r="X142" s="63"/>
      <c r="Y142" s="63"/>
      <c r="Z142" s="83"/>
      <c r="AA142" s="83"/>
      <c r="AB142" s="83"/>
      <c r="AC142" s="63"/>
      <c r="AD142" s="63"/>
    </row>
    <row r="143" spans="2:30" x14ac:dyDescent="0.3">
      <c r="B143" s="116"/>
      <c r="C143" s="116"/>
      <c r="D143" s="116"/>
      <c r="E143" s="9"/>
      <c r="F143" s="72"/>
      <c r="G143" s="72"/>
      <c r="H143" s="72"/>
      <c r="I143" s="72"/>
      <c r="J143" s="17"/>
      <c r="K143" s="17"/>
      <c r="L143" s="83"/>
      <c r="M143" s="83"/>
      <c r="N143" s="83"/>
      <c r="O143" s="63"/>
      <c r="P143" s="9"/>
      <c r="Q143" s="72"/>
      <c r="R143" s="72"/>
      <c r="S143" s="72"/>
      <c r="T143" s="72"/>
      <c r="U143" s="17"/>
      <c r="V143" s="17"/>
      <c r="W143" s="63"/>
      <c r="X143" s="63"/>
      <c r="Y143" s="63"/>
      <c r="Z143" s="83"/>
      <c r="AA143" s="83"/>
      <c r="AB143" s="83"/>
      <c r="AC143" s="63"/>
      <c r="AD143" s="63"/>
    </row>
    <row r="144" spans="2:30" x14ac:dyDescent="0.3">
      <c r="B144" s="116"/>
      <c r="C144" s="116"/>
      <c r="D144" s="116"/>
      <c r="E144" s="9"/>
      <c r="F144" s="72"/>
      <c r="G144" s="72"/>
      <c r="H144" s="72"/>
      <c r="I144" s="72"/>
      <c r="J144" s="17"/>
      <c r="K144" s="17"/>
      <c r="L144" s="83"/>
      <c r="M144" s="83"/>
      <c r="N144" s="83"/>
      <c r="O144" s="63"/>
      <c r="P144" s="9"/>
      <c r="Q144" s="72"/>
      <c r="R144" s="72"/>
      <c r="S144" s="72"/>
      <c r="T144" s="72"/>
      <c r="U144" s="17"/>
      <c r="V144" s="17"/>
      <c r="W144" s="63"/>
      <c r="X144" s="63"/>
      <c r="Y144" s="63"/>
      <c r="Z144" s="83"/>
      <c r="AA144" s="83"/>
      <c r="AB144" s="83"/>
      <c r="AC144" s="63"/>
      <c r="AD144" s="63"/>
    </row>
    <row r="145" spans="2:30" x14ac:dyDescent="0.3">
      <c r="B145" s="116"/>
      <c r="C145" s="116"/>
      <c r="D145" s="116"/>
      <c r="E145" s="9"/>
      <c r="F145" s="72"/>
      <c r="G145" s="72"/>
      <c r="H145" s="72"/>
      <c r="I145" s="72"/>
      <c r="J145" s="17"/>
      <c r="K145" s="17"/>
      <c r="L145" s="83"/>
      <c r="M145" s="83"/>
      <c r="N145" s="83"/>
      <c r="O145" s="63"/>
      <c r="P145" s="9"/>
      <c r="Q145" s="72"/>
      <c r="R145" s="72"/>
      <c r="S145" s="72"/>
      <c r="T145" s="72"/>
      <c r="U145" s="17"/>
      <c r="V145" s="17"/>
      <c r="W145" s="63"/>
      <c r="X145" s="63"/>
      <c r="Y145" s="63"/>
      <c r="Z145" s="83"/>
      <c r="AA145" s="83"/>
      <c r="AB145" s="83"/>
      <c r="AC145" s="63"/>
      <c r="AD145" s="63"/>
    </row>
    <row r="146" spans="2:30" x14ac:dyDescent="0.3">
      <c r="B146" s="116"/>
      <c r="C146" s="116"/>
      <c r="D146" s="116"/>
      <c r="E146" s="9"/>
      <c r="F146" s="72"/>
      <c r="G146" s="72"/>
      <c r="H146" s="72"/>
      <c r="I146" s="72"/>
      <c r="J146" s="17"/>
      <c r="K146" s="17"/>
      <c r="L146" s="83"/>
      <c r="M146" s="83"/>
      <c r="N146" s="83"/>
      <c r="O146" s="63"/>
      <c r="P146" s="9"/>
      <c r="Q146" s="72"/>
      <c r="R146" s="72"/>
      <c r="S146" s="72"/>
      <c r="T146" s="72"/>
      <c r="U146" s="17"/>
      <c r="V146" s="17"/>
      <c r="W146" s="63"/>
      <c r="X146" s="63"/>
      <c r="Y146" s="63"/>
      <c r="Z146" s="83"/>
      <c r="AA146" s="83"/>
      <c r="AB146" s="83"/>
      <c r="AC146" s="63"/>
      <c r="AD146" s="63"/>
    </row>
    <row r="147" spans="2:30" x14ac:dyDescent="0.3">
      <c r="B147" s="116"/>
      <c r="C147" s="116"/>
      <c r="D147" s="116"/>
      <c r="E147" s="9"/>
      <c r="F147" s="72"/>
      <c r="G147" s="72"/>
      <c r="H147" s="72"/>
      <c r="I147" s="72"/>
      <c r="J147" s="17"/>
      <c r="K147" s="17"/>
      <c r="L147" s="83"/>
      <c r="M147" s="83"/>
      <c r="N147" s="83"/>
      <c r="O147" s="63"/>
      <c r="P147" s="9"/>
      <c r="Q147" s="72"/>
      <c r="R147" s="72"/>
      <c r="S147" s="72"/>
      <c r="T147" s="72"/>
      <c r="U147" s="17"/>
      <c r="V147" s="17"/>
      <c r="W147" s="63"/>
      <c r="X147" s="63"/>
      <c r="Y147" s="63"/>
      <c r="Z147" s="83"/>
      <c r="AA147" s="83"/>
      <c r="AB147" s="83"/>
      <c r="AC147" s="63"/>
      <c r="AD147" s="63"/>
    </row>
    <row r="148" spans="2:30" x14ac:dyDescent="0.3">
      <c r="B148" s="116"/>
      <c r="C148" s="116"/>
      <c r="D148" s="116"/>
      <c r="E148" s="82"/>
      <c r="F148" s="79"/>
      <c r="G148" s="79"/>
      <c r="H148" s="79"/>
      <c r="I148" s="79"/>
      <c r="J148" s="39"/>
      <c r="K148" s="39"/>
      <c r="L148" s="39"/>
      <c r="M148" s="68"/>
      <c r="N148" s="68"/>
      <c r="O148" s="63"/>
      <c r="P148" s="82"/>
      <c r="Q148" s="79"/>
      <c r="R148" s="79"/>
      <c r="S148" s="79"/>
      <c r="T148" s="79"/>
      <c r="U148" s="39"/>
      <c r="V148" s="39"/>
      <c r="W148" s="63"/>
      <c r="X148" s="63"/>
      <c r="Y148" s="63"/>
      <c r="Z148" s="39"/>
      <c r="AA148" s="68"/>
      <c r="AB148" s="68"/>
      <c r="AC148" s="63"/>
      <c r="AD148" s="63"/>
    </row>
    <row r="149" spans="2:30" x14ac:dyDescent="0.3">
      <c r="B149" s="116"/>
      <c r="C149" s="116"/>
      <c r="D149" s="116"/>
      <c r="E149" s="82"/>
      <c r="F149" s="79"/>
      <c r="G149" s="79"/>
      <c r="H149" s="79"/>
      <c r="I149" s="79"/>
      <c r="J149" s="79"/>
      <c r="K149" s="79"/>
      <c r="L149" s="39"/>
      <c r="M149" s="68"/>
      <c r="N149" s="39"/>
      <c r="O149" s="63"/>
      <c r="P149" s="82"/>
      <c r="Q149" s="79"/>
      <c r="R149" s="79"/>
      <c r="S149" s="79"/>
      <c r="T149" s="79"/>
      <c r="U149" s="79"/>
      <c r="V149" s="79"/>
      <c r="W149" s="63"/>
      <c r="X149" s="63"/>
      <c r="Y149" s="63"/>
      <c r="Z149" s="39"/>
      <c r="AA149" s="68"/>
      <c r="AB149" s="39"/>
      <c r="AC149" s="63"/>
      <c r="AD149" s="63"/>
    </row>
    <row r="150" spans="2:30" x14ac:dyDescent="0.3">
      <c r="B150" s="116"/>
      <c r="C150" s="116"/>
      <c r="D150" s="116"/>
      <c r="E150" s="82"/>
      <c r="F150" s="79"/>
      <c r="G150" s="79"/>
      <c r="H150" s="79"/>
      <c r="I150" s="79"/>
      <c r="J150" s="39"/>
      <c r="K150" s="39"/>
      <c r="L150" s="39"/>
      <c r="M150" s="68"/>
      <c r="N150" s="68"/>
      <c r="O150" s="63"/>
      <c r="P150" s="82"/>
      <c r="Q150" s="79"/>
      <c r="R150" s="79"/>
      <c r="S150" s="79"/>
      <c r="T150" s="79"/>
      <c r="U150" s="39"/>
      <c r="V150" s="39"/>
      <c r="W150" s="63"/>
      <c r="X150" s="63"/>
      <c r="Y150" s="63"/>
      <c r="Z150" s="39"/>
      <c r="AA150" s="68"/>
      <c r="AB150" s="68"/>
      <c r="AC150" s="63"/>
      <c r="AD150" s="63"/>
    </row>
    <row r="151" spans="2:30" x14ac:dyDescent="0.3">
      <c r="B151" s="116"/>
      <c r="C151" s="116"/>
      <c r="D151" s="116"/>
      <c r="E151" s="82"/>
      <c r="F151" s="79"/>
      <c r="G151" s="79"/>
      <c r="H151" s="79"/>
      <c r="I151" s="79"/>
      <c r="J151" s="39"/>
      <c r="K151" s="39"/>
      <c r="L151" s="39"/>
      <c r="M151" s="68"/>
      <c r="N151" s="68"/>
      <c r="O151" s="63"/>
      <c r="P151" s="82"/>
      <c r="Q151" s="79"/>
      <c r="R151" s="79"/>
      <c r="S151" s="79"/>
      <c r="T151" s="79"/>
      <c r="U151" s="39"/>
      <c r="V151" s="39"/>
      <c r="W151" s="63"/>
      <c r="X151" s="63"/>
      <c r="Y151" s="63"/>
      <c r="Z151" s="39"/>
      <c r="AA151" s="68"/>
      <c r="AB151" s="68"/>
      <c r="AC151" s="63"/>
      <c r="AD151" s="63"/>
    </row>
    <row r="152" spans="2:30" x14ac:dyDescent="0.3">
      <c r="B152" s="116"/>
      <c r="C152" s="116"/>
      <c r="D152" s="116"/>
      <c r="E152" s="82"/>
      <c r="F152" s="79"/>
      <c r="G152" s="79"/>
      <c r="H152" s="79"/>
      <c r="I152" s="79"/>
      <c r="J152" s="39"/>
      <c r="K152" s="39"/>
      <c r="L152" s="39"/>
      <c r="M152" s="68"/>
      <c r="N152" s="68"/>
      <c r="O152" s="63"/>
      <c r="P152" s="82"/>
      <c r="Q152" s="79"/>
      <c r="R152" s="79"/>
      <c r="S152" s="79"/>
      <c r="T152" s="79"/>
      <c r="U152" s="39"/>
      <c r="V152" s="39"/>
      <c r="W152" s="63"/>
      <c r="X152" s="63"/>
      <c r="Y152" s="63"/>
      <c r="Z152" s="39"/>
      <c r="AA152" s="68"/>
      <c r="AB152" s="68"/>
      <c r="AC152" s="63"/>
      <c r="AD152" s="63"/>
    </row>
    <row r="153" spans="2:30" x14ac:dyDescent="0.3">
      <c r="B153" s="116"/>
      <c r="C153" s="116"/>
      <c r="D153" s="116"/>
      <c r="E153" s="82"/>
      <c r="F153" s="79"/>
      <c r="G153" s="79"/>
      <c r="H153" s="79"/>
      <c r="I153" s="79"/>
      <c r="J153" s="39"/>
      <c r="K153" s="39"/>
      <c r="L153" s="39"/>
      <c r="M153" s="68"/>
      <c r="N153" s="68"/>
      <c r="O153" s="63"/>
      <c r="P153" s="82"/>
      <c r="Q153" s="79"/>
      <c r="R153" s="79"/>
      <c r="S153" s="79"/>
      <c r="T153" s="79"/>
      <c r="U153" s="39"/>
      <c r="V153" s="39"/>
      <c r="W153" s="63"/>
      <c r="X153" s="63"/>
      <c r="Y153" s="63"/>
      <c r="Z153" s="39"/>
      <c r="AA153" s="68"/>
      <c r="AB153" s="68"/>
      <c r="AC153" s="63"/>
      <c r="AD153" s="63"/>
    </row>
    <row r="154" spans="2:30" x14ac:dyDescent="0.3">
      <c r="B154" s="116"/>
      <c r="C154" s="116"/>
      <c r="D154" s="116"/>
      <c r="E154" s="82"/>
      <c r="F154" s="79"/>
      <c r="G154" s="79"/>
      <c r="H154" s="79"/>
      <c r="I154" s="79"/>
      <c r="J154" s="39"/>
      <c r="K154" s="39"/>
      <c r="L154" s="39"/>
      <c r="M154" s="68"/>
      <c r="N154" s="68"/>
      <c r="O154" s="63"/>
      <c r="P154" s="82"/>
      <c r="Q154" s="79"/>
      <c r="R154" s="79"/>
      <c r="S154" s="79"/>
      <c r="T154" s="79"/>
      <c r="U154" s="39"/>
      <c r="V154" s="39"/>
      <c r="W154" s="63"/>
      <c r="X154" s="63"/>
      <c r="Y154" s="63"/>
      <c r="Z154" s="39"/>
      <c r="AA154" s="68"/>
      <c r="AB154" s="68"/>
      <c r="AC154" s="63"/>
      <c r="AD154" s="63"/>
    </row>
    <row r="155" spans="2:30" x14ac:dyDescent="0.3">
      <c r="B155" s="116"/>
      <c r="C155" s="116"/>
      <c r="D155" s="116"/>
      <c r="E155" s="82"/>
      <c r="F155" s="79"/>
      <c r="G155" s="79"/>
      <c r="H155" s="79"/>
      <c r="I155" s="79"/>
      <c r="J155" s="39"/>
      <c r="K155" s="39"/>
      <c r="L155" s="39"/>
      <c r="M155" s="68"/>
      <c r="N155" s="68"/>
      <c r="O155" s="63"/>
      <c r="P155" s="82"/>
      <c r="Q155" s="79"/>
      <c r="R155" s="79"/>
      <c r="S155" s="79"/>
      <c r="T155" s="79"/>
      <c r="U155" s="39"/>
      <c r="V155" s="39"/>
      <c r="W155" s="63"/>
      <c r="X155" s="63"/>
      <c r="Y155" s="63"/>
      <c r="Z155" s="39"/>
      <c r="AA155" s="68"/>
      <c r="AB155" s="68"/>
      <c r="AC155" s="63"/>
      <c r="AD155" s="63"/>
    </row>
    <row r="156" spans="2:30" x14ac:dyDescent="0.3">
      <c r="B156" s="116"/>
      <c r="C156" s="116"/>
      <c r="D156" s="116"/>
      <c r="E156" s="82"/>
      <c r="F156" s="79"/>
      <c r="G156" s="79"/>
      <c r="H156" s="79"/>
      <c r="I156" s="79"/>
      <c r="J156" s="39"/>
      <c r="K156" s="39"/>
      <c r="L156" s="39"/>
      <c r="M156" s="68"/>
      <c r="N156" s="68"/>
      <c r="O156" s="63"/>
      <c r="P156" s="82"/>
      <c r="Q156" s="79"/>
      <c r="R156" s="79"/>
      <c r="S156" s="79"/>
      <c r="T156" s="79"/>
      <c r="U156" s="39"/>
      <c r="V156" s="39"/>
      <c r="W156" s="63"/>
      <c r="X156" s="63"/>
      <c r="Y156" s="63"/>
      <c r="Z156" s="39"/>
      <c r="AA156" s="68"/>
      <c r="AB156" s="68"/>
      <c r="AC156" s="63"/>
      <c r="AD156" s="63"/>
    </row>
    <row r="157" spans="2:30" x14ac:dyDescent="0.3">
      <c r="B157" s="116"/>
      <c r="C157" s="116"/>
      <c r="D157" s="116"/>
      <c r="E157" s="82"/>
      <c r="F157" s="79"/>
      <c r="G157" s="79"/>
      <c r="H157" s="79"/>
      <c r="I157" s="79"/>
      <c r="J157" s="39"/>
      <c r="K157" s="39"/>
      <c r="L157" s="39"/>
      <c r="M157" s="68"/>
      <c r="N157" s="68"/>
      <c r="O157" s="63"/>
      <c r="P157" s="82"/>
      <c r="Q157" s="79"/>
      <c r="R157" s="79"/>
      <c r="S157" s="79"/>
      <c r="T157" s="79"/>
      <c r="U157" s="39"/>
      <c r="V157" s="39"/>
      <c r="W157" s="63"/>
      <c r="X157" s="63"/>
      <c r="Y157" s="63"/>
      <c r="Z157" s="39"/>
      <c r="AA157" s="68"/>
      <c r="AB157" s="68"/>
      <c r="AC157" s="63"/>
      <c r="AD157" s="63"/>
    </row>
    <row r="158" spans="2:30" x14ac:dyDescent="0.3">
      <c r="B158" s="116"/>
      <c r="C158" s="116"/>
      <c r="D158" s="116"/>
      <c r="E158" s="82"/>
      <c r="F158" s="79"/>
      <c r="G158" s="79"/>
      <c r="H158" s="79"/>
      <c r="I158" s="79"/>
      <c r="J158" s="39"/>
      <c r="K158" s="39"/>
      <c r="L158" s="39"/>
      <c r="M158" s="68"/>
      <c r="N158" s="39"/>
      <c r="O158" s="63"/>
      <c r="P158" s="82"/>
      <c r="Q158" s="79"/>
      <c r="R158" s="79"/>
      <c r="S158" s="79"/>
      <c r="T158" s="79"/>
      <c r="U158" s="39"/>
      <c r="V158" s="39"/>
      <c r="W158" s="63"/>
      <c r="X158" s="63"/>
      <c r="Y158" s="63"/>
      <c r="Z158" s="39"/>
      <c r="AA158" s="68"/>
      <c r="AB158" s="39"/>
      <c r="AC158" s="63"/>
      <c r="AD158" s="63"/>
    </row>
    <row r="159" spans="2:30" x14ac:dyDescent="0.3">
      <c r="B159" s="116"/>
      <c r="C159" s="116"/>
      <c r="D159" s="116"/>
      <c r="E159" s="82"/>
      <c r="F159" s="79"/>
      <c r="G159" s="79"/>
      <c r="H159" s="79"/>
      <c r="I159" s="79"/>
      <c r="J159" s="39"/>
      <c r="K159" s="39"/>
      <c r="L159" s="39"/>
      <c r="M159" s="68"/>
      <c r="N159" s="39"/>
      <c r="O159" s="63"/>
      <c r="P159" s="82"/>
      <c r="Q159" s="79"/>
      <c r="R159" s="79"/>
      <c r="S159" s="79"/>
      <c r="T159" s="79"/>
      <c r="U159" s="39"/>
      <c r="V159" s="39"/>
      <c r="W159" s="63"/>
      <c r="X159" s="63"/>
      <c r="Y159" s="63"/>
      <c r="Z159" s="39"/>
      <c r="AA159" s="68"/>
      <c r="AB159" s="39"/>
      <c r="AC159" s="63"/>
      <c r="AD159" s="63"/>
    </row>
    <row r="160" spans="2:30" ht="14.1" customHeight="1" x14ac:dyDescent="0.3">
      <c r="B160" s="132" t="s">
        <v>29</v>
      </c>
      <c r="C160" s="132"/>
      <c r="D160" s="132"/>
      <c r="E160" s="132"/>
      <c r="F160" s="132"/>
      <c r="G160" s="132"/>
      <c r="H160" s="132"/>
      <c r="I160" s="54">
        <f>SUM(I140:I159)</f>
        <v>0</v>
      </c>
      <c r="J160" s="54"/>
      <c r="K160" s="54"/>
      <c r="L160" s="54"/>
      <c r="M160" s="54"/>
      <c r="N160" s="54">
        <f>SUM(N140:N159)</f>
        <v>0</v>
      </c>
      <c r="O160" s="54"/>
      <c r="P160" s="100"/>
      <c r="Q160" s="100"/>
      <c r="R160" s="100"/>
      <c r="S160" s="100"/>
      <c r="T160" s="54">
        <f>SUM(T140:T159)</f>
        <v>0</v>
      </c>
      <c r="U160" s="54"/>
      <c r="V160" s="54"/>
      <c r="W160" s="54">
        <f>SUM(W140:W159)</f>
        <v>0</v>
      </c>
      <c r="X160" s="54"/>
      <c r="Y160" s="54"/>
      <c r="Z160" s="54"/>
      <c r="AA160" s="54"/>
      <c r="AB160" s="54"/>
      <c r="AC160" s="54"/>
      <c r="AD160" s="54">
        <f>SUM(AD140:AD159)</f>
        <v>0</v>
      </c>
    </row>
    <row r="161" spans="2:16" x14ac:dyDescent="0.3">
      <c r="B161" s="53"/>
      <c r="C161" s="53"/>
      <c r="D161" s="53"/>
      <c r="E161" s="53"/>
      <c r="F161" s="53"/>
      <c r="G161" s="56"/>
      <c r="H161" s="56"/>
      <c r="I161" s="56"/>
      <c r="J161" s="56"/>
      <c r="K161" s="56"/>
      <c r="L161" s="56"/>
      <c r="M161" s="56"/>
    </row>
    <row r="162" spans="2:16" x14ac:dyDescent="0.3">
      <c r="B162" s="53"/>
      <c r="C162" s="53"/>
      <c r="D162" s="53"/>
      <c r="E162" s="53"/>
      <c r="F162" s="53"/>
      <c r="G162" s="56"/>
      <c r="H162" s="56"/>
      <c r="I162" s="56"/>
      <c r="J162" s="56"/>
      <c r="K162" s="56"/>
      <c r="L162" s="56"/>
      <c r="M162" s="56"/>
    </row>
    <row r="163" spans="2:16" x14ac:dyDescent="0.3">
      <c r="C163" s="3"/>
      <c r="D163" s="3"/>
      <c r="E163" s="117" t="s">
        <v>316</v>
      </c>
      <c r="F163" s="117"/>
      <c r="G163" s="117"/>
      <c r="H163" s="117"/>
      <c r="I163" s="117"/>
      <c r="J163" s="3"/>
      <c r="K163" s="3"/>
      <c r="L163" s="3"/>
      <c r="M163" s="3"/>
      <c r="N163" s="36"/>
      <c r="O163" s="36"/>
      <c r="P163" s="36"/>
    </row>
    <row r="164" spans="2:16" ht="14.1" customHeight="1" x14ac:dyDescent="0.3">
      <c r="B164" s="153" t="s">
        <v>5</v>
      </c>
      <c r="C164" s="153"/>
      <c r="D164" s="153"/>
      <c r="E164" s="116" t="s">
        <v>11</v>
      </c>
      <c r="F164" s="116" t="s">
        <v>317</v>
      </c>
      <c r="G164" s="116"/>
      <c r="H164" s="116"/>
      <c r="I164" s="9" t="s">
        <v>10</v>
      </c>
      <c r="J164" s="15"/>
      <c r="K164" s="15"/>
      <c r="L164" s="15"/>
      <c r="M164" s="15"/>
      <c r="N164" s="14"/>
      <c r="O164" s="14"/>
      <c r="P164" s="14"/>
    </row>
    <row r="165" spans="2:16" x14ac:dyDescent="0.3">
      <c r="B165" s="153"/>
      <c r="C165" s="153"/>
      <c r="D165" s="153"/>
      <c r="E165" s="116"/>
      <c r="F165" s="9" t="s">
        <v>8</v>
      </c>
      <c r="G165" s="9" t="s">
        <v>7</v>
      </c>
      <c r="H165" s="9" t="s">
        <v>6</v>
      </c>
      <c r="I165" s="17" t="s">
        <v>14</v>
      </c>
      <c r="J165" s="15"/>
      <c r="K165" s="15"/>
      <c r="L165" s="15"/>
      <c r="M165" s="21"/>
      <c r="N165" s="14"/>
      <c r="O165" s="14"/>
      <c r="P165" s="14"/>
    </row>
    <row r="166" spans="2:16" x14ac:dyDescent="0.3">
      <c r="B166" s="116"/>
      <c r="C166" s="116"/>
      <c r="D166" s="116"/>
      <c r="E166" s="17"/>
      <c r="F166" s="63"/>
      <c r="G166" s="63"/>
      <c r="H166" s="63"/>
      <c r="I166" s="83"/>
      <c r="M166" s="14"/>
      <c r="N166" s="14"/>
      <c r="O166" s="14"/>
    </row>
    <row r="167" spans="2:16" x14ac:dyDescent="0.3">
      <c r="B167" s="116"/>
      <c r="C167" s="116"/>
      <c r="D167" s="116"/>
      <c r="E167" s="17"/>
      <c r="F167" s="63"/>
      <c r="G167" s="63"/>
      <c r="H167" s="63"/>
      <c r="I167" s="83"/>
      <c r="M167" s="14"/>
      <c r="N167" s="14"/>
      <c r="O167" s="14"/>
    </row>
    <row r="168" spans="2:16" x14ac:dyDescent="0.3">
      <c r="B168" s="116"/>
      <c r="C168" s="116"/>
      <c r="D168" s="116"/>
      <c r="E168" s="17"/>
      <c r="F168" s="63"/>
      <c r="G168" s="63"/>
      <c r="H168" s="63"/>
      <c r="I168" s="83"/>
      <c r="M168" s="14"/>
      <c r="N168" s="14"/>
      <c r="O168" s="14"/>
    </row>
    <row r="169" spans="2:16" x14ac:dyDescent="0.3">
      <c r="B169" s="116"/>
      <c r="C169" s="116"/>
      <c r="D169" s="116"/>
      <c r="E169" s="17"/>
      <c r="F169" s="63"/>
      <c r="G169" s="63"/>
      <c r="H169" s="63"/>
      <c r="I169" s="83"/>
      <c r="M169" s="14"/>
      <c r="N169" s="14"/>
      <c r="O169" s="14"/>
    </row>
    <row r="170" spans="2:16" x14ac:dyDescent="0.3">
      <c r="B170" s="116"/>
      <c r="C170" s="116"/>
      <c r="D170" s="116"/>
      <c r="E170" s="17"/>
      <c r="F170" s="63"/>
      <c r="G170" s="63"/>
      <c r="H170" s="63"/>
      <c r="I170" s="83"/>
      <c r="M170" s="14"/>
      <c r="N170" s="14"/>
      <c r="O170" s="14"/>
    </row>
    <row r="171" spans="2:16" x14ac:dyDescent="0.3">
      <c r="B171" s="116"/>
      <c r="C171" s="116"/>
      <c r="D171" s="116"/>
      <c r="E171" s="17"/>
      <c r="F171" s="63"/>
      <c r="G171" s="63"/>
      <c r="H171" s="63"/>
      <c r="I171" s="83"/>
      <c r="M171" s="14"/>
      <c r="N171" s="14"/>
      <c r="O171" s="14"/>
    </row>
    <row r="172" spans="2:16" x14ac:dyDescent="0.3">
      <c r="B172" s="116"/>
      <c r="C172" s="116"/>
      <c r="D172" s="116"/>
      <c r="E172" s="17"/>
      <c r="F172" s="63"/>
      <c r="G172" s="63"/>
      <c r="H172" s="63"/>
      <c r="I172" s="83"/>
      <c r="M172" s="14"/>
      <c r="N172" s="14"/>
      <c r="O172" s="14"/>
    </row>
    <row r="173" spans="2:16" x14ac:dyDescent="0.3">
      <c r="B173" s="116"/>
      <c r="C173" s="116"/>
      <c r="D173" s="116"/>
      <c r="E173" s="17"/>
      <c r="F173" s="63"/>
      <c r="G173" s="63"/>
      <c r="H173" s="63"/>
      <c r="I173" s="83"/>
      <c r="M173" s="14"/>
      <c r="N173" s="14"/>
      <c r="O173" s="14"/>
    </row>
    <row r="174" spans="2:16" x14ac:dyDescent="0.3">
      <c r="B174" s="116"/>
      <c r="C174" s="116"/>
      <c r="D174" s="116"/>
      <c r="E174" s="39"/>
      <c r="F174" s="63"/>
      <c r="G174" s="63"/>
      <c r="H174" s="63"/>
      <c r="I174" s="39"/>
      <c r="M174" s="42"/>
      <c r="N174" s="64"/>
      <c r="O174" s="64"/>
    </row>
    <row r="175" spans="2:16" x14ac:dyDescent="0.3">
      <c r="B175" s="116"/>
      <c r="C175" s="116"/>
      <c r="D175" s="116"/>
      <c r="E175" s="79"/>
      <c r="F175" s="63"/>
      <c r="G175" s="63"/>
      <c r="H175" s="63"/>
      <c r="I175" s="39"/>
      <c r="M175" s="42"/>
      <c r="N175" s="64"/>
      <c r="O175" s="42"/>
    </row>
    <row r="176" spans="2:16" x14ac:dyDescent="0.3">
      <c r="B176" s="116"/>
      <c r="C176" s="116"/>
      <c r="D176" s="116"/>
      <c r="E176" s="39"/>
      <c r="F176" s="63"/>
      <c r="G176" s="63"/>
      <c r="H176" s="63"/>
      <c r="I176" s="39"/>
      <c r="M176" s="42"/>
      <c r="N176" s="64"/>
      <c r="O176" s="64"/>
    </row>
    <row r="177" spans="2:16" x14ac:dyDescent="0.3">
      <c r="B177" s="116"/>
      <c r="C177" s="116"/>
      <c r="D177" s="116"/>
      <c r="E177" s="39"/>
      <c r="F177" s="63"/>
      <c r="G177" s="63"/>
      <c r="H177" s="63"/>
      <c r="I177" s="39"/>
      <c r="M177" s="42"/>
      <c r="N177" s="64"/>
      <c r="O177" s="64"/>
    </row>
    <row r="178" spans="2:16" x14ac:dyDescent="0.3">
      <c r="B178" s="116"/>
      <c r="C178" s="116"/>
      <c r="D178" s="116"/>
      <c r="E178" s="39"/>
      <c r="F178" s="63"/>
      <c r="G178" s="63"/>
      <c r="H178" s="63"/>
      <c r="I178" s="39"/>
      <c r="M178" s="42"/>
      <c r="N178" s="64"/>
      <c r="O178" s="64"/>
    </row>
    <row r="179" spans="2:16" x14ac:dyDescent="0.3">
      <c r="B179" s="116"/>
      <c r="C179" s="116"/>
      <c r="D179" s="116"/>
      <c r="E179" s="39"/>
      <c r="F179" s="63"/>
      <c r="G179" s="63"/>
      <c r="H179" s="63"/>
      <c r="I179" s="39"/>
      <c r="M179" s="42"/>
      <c r="N179" s="64"/>
      <c r="O179" s="64"/>
    </row>
    <row r="180" spans="2:16" x14ac:dyDescent="0.3">
      <c r="B180" s="116"/>
      <c r="C180" s="116"/>
      <c r="D180" s="116"/>
      <c r="E180" s="39"/>
      <c r="F180" s="63"/>
      <c r="G180" s="63"/>
      <c r="H180" s="63"/>
      <c r="I180" s="39"/>
      <c r="M180" s="42"/>
      <c r="N180" s="64"/>
      <c r="O180" s="64"/>
    </row>
    <row r="181" spans="2:16" x14ac:dyDescent="0.3">
      <c r="B181" s="116"/>
      <c r="C181" s="116"/>
      <c r="D181" s="116"/>
      <c r="E181" s="39"/>
      <c r="F181" s="63"/>
      <c r="G181" s="63"/>
      <c r="H181" s="63"/>
      <c r="I181" s="39"/>
      <c r="M181" s="42"/>
      <c r="N181" s="64"/>
      <c r="O181" s="64"/>
    </row>
    <row r="182" spans="2:16" x14ac:dyDescent="0.3">
      <c r="B182" s="116"/>
      <c r="C182" s="116"/>
      <c r="D182" s="116"/>
      <c r="E182" s="39"/>
      <c r="F182" s="63"/>
      <c r="G182" s="63"/>
      <c r="H182" s="63"/>
      <c r="I182" s="39"/>
      <c r="M182" s="42"/>
      <c r="N182" s="64"/>
      <c r="O182" s="64"/>
    </row>
    <row r="183" spans="2:16" x14ac:dyDescent="0.3">
      <c r="B183" s="116"/>
      <c r="C183" s="116"/>
      <c r="D183" s="116"/>
      <c r="E183" s="39"/>
      <c r="F183" s="63"/>
      <c r="G183" s="63"/>
      <c r="H183" s="63"/>
      <c r="I183" s="39"/>
      <c r="M183" s="42"/>
      <c r="N183" s="64"/>
      <c r="O183" s="64"/>
    </row>
    <row r="184" spans="2:16" x14ac:dyDescent="0.3">
      <c r="B184" s="116"/>
      <c r="C184" s="116"/>
      <c r="D184" s="116"/>
      <c r="E184" s="39"/>
      <c r="F184" s="63"/>
      <c r="G184" s="63"/>
      <c r="H184" s="63"/>
      <c r="I184" s="39"/>
      <c r="M184" s="42"/>
      <c r="N184" s="64"/>
      <c r="O184" s="42"/>
    </row>
    <row r="185" spans="2:16" x14ac:dyDescent="0.3">
      <c r="B185" s="116"/>
      <c r="C185" s="116"/>
      <c r="D185" s="116"/>
      <c r="E185" s="39"/>
      <c r="F185" s="63"/>
      <c r="G185" s="63"/>
      <c r="H185" s="63"/>
      <c r="I185" s="39"/>
      <c r="M185" s="42"/>
      <c r="N185" s="64"/>
      <c r="O185" s="42"/>
    </row>
    <row r="186" spans="2:16" ht="14.1" customHeight="1" x14ac:dyDescent="0.3">
      <c r="B186" s="132" t="s">
        <v>29</v>
      </c>
      <c r="C186" s="132"/>
      <c r="D186" s="132"/>
      <c r="E186" s="54"/>
      <c r="F186" s="54"/>
      <c r="G186" s="54"/>
      <c r="H186" s="54"/>
      <c r="I186" s="54">
        <f>SUM(I166:I185)</f>
        <v>0</v>
      </c>
      <c r="J186" s="56"/>
      <c r="K186" s="56"/>
      <c r="L186" s="56"/>
      <c r="M186" s="56"/>
      <c r="N186" s="56"/>
      <c r="O186" s="56"/>
      <c r="P186" s="56"/>
    </row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235">
    <mergeCell ref="B1:F1"/>
    <mergeCell ref="E4:K4"/>
    <mergeCell ref="L4:O4"/>
    <mergeCell ref="P4:T4"/>
    <mergeCell ref="E5:E7"/>
    <mergeCell ref="F5:I5"/>
    <mergeCell ref="J5:K5"/>
    <mergeCell ref="L5:L7"/>
    <mergeCell ref="M5:O5"/>
    <mergeCell ref="P5:P7"/>
    <mergeCell ref="Q5:T5"/>
    <mergeCell ref="B6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H28"/>
    <mergeCell ref="E31:K31"/>
    <mergeCell ref="L31:O31"/>
    <mergeCell ref="P31:U31"/>
    <mergeCell ref="B32:D34"/>
    <mergeCell ref="E32:E34"/>
    <mergeCell ref="F32:I32"/>
    <mergeCell ref="J32:K32"/>
    <mergeCell ref="L32:L34"/>
    <mergeCell ref="M32:O32"/>
    <mergeCell ref="P32:P34"/>
    <mergeCell ref="Q32:S32"/>
    <mergeCell ref="T32:U3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H55"/>
    <mergeCell ref="B58:D60"/>
    <mergeCell ref="E58:H58"/>
    <mergeCell ref="I58:L58"/>
    <mergeCell ref="M58:P58"/>
    <mergeCell ref="Q58:T58"/>
    <mergeCell ref="U58:W58"/>
    <mergeCell ref="G59:H59"/>
    <mergeCell ref="K59:L59"/>
    <mergeCell ref="O59:P59"/>
    <mergeCell ref="Q59:T59"/>
    <mergeCell ref="U59:W59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H81"/>
    <mergeCell ref="E84:J84"/>
    <mergeCell ref="K84:P84"/>
    <mergeCell ref="Q84:T84"/>
    <mergeCell ref="U84:X84"/>
    <mergeCell ref="Y84:AC84"/>
    <mergeCell ref="AD84:AF84"/>
    <mergeCell ref="AG84:AI84"/>
    <mergeCell ref="AJ84:AO84"/>
    <mergeCell ref="B85:D86"/>
    <mergeCell ref="E85:E86"/>
    <mergeCell ref="F85:F86"/>
    <mergeCell ref="K85:K86"/>
    <mergeCell ref="L85:L86"/>
    <mergeCell ref="S85:S86"/>
    <mergeCell ref="T85:T86"/>
    <mergeCell ref="W85:W86"/>
    <mergeCell ref="X85:X86"/>
    <mergeCell ref="Y85:Y86"/>
    <mergeCell ref="AB85:AB86"/>
    <mergeCell ref="AC85:AC86"/>
    <mergeCell ref="AJ85:AJ86"/>
    <mergeCell ref="AN85:AO85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H107"/>
    <mergeCell ref="E110:J110"/>
    <mergeCell ref="K110:N110"/>
    <mergeCell ref="O110:R110"/>
    <mergeCell ref="B111:D112"/>
    <mergeCell ref="E111:E112"/>
    <mergeCell ref="F111:F112"/>
    <mergeCell ref="G111:G112"/>
    <mergeCell ref="H111:H112"/>
    <mergeCell ref="I111:I112"/>
    <mergeCell ref="J111:J112"/>
    <mergeCell ref="K111:K112"/>
    <mergeCell ref="O111:O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H133"/>
    <mergeCell ref="E136:O136"/>
    <mergeCell ref="P136:W136"/>
    <mergeCell ref="X136:AD136"/>
    <mergeCell ref="B137:D139"/>
    <mergeCell ref="E137:F137"/>
    <mergeCell ref="G137:I137"/>
    <mergeCell ref="J137:L137"/>
    <mergeCell ref="M137:O137"/>
    <mergeCell ref="P137:P139"/>
    <mergeCell ref="Q137:Q139"/>
    <mergeCell ref="R137:T137"/>
    <mergeCell ref="U137:W137"/>
    <mergeCell ref="X137:X139"/>
    <mergeCell ref="Y137:Y139"/>
    <mergeCell ref="Z137:AD137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H160"/>
    <mergeCell ref="E163:I163"/>
    <mergeCell ref="B164:D165"/>
    <mergeCell ref="E164:E165"/>
    <mergeCell ref="F164:H164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86:D18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zoomScale="160" zoomScaleNormal="160" workbookViewId="0">
      <selection activeCell="B1" sqref="B1"/>
    </sheetView>
  </sheetViews>
  <sheetFormatPr defaultColWidth="7.6640625" defaultRowHeight="13.8" x14ac:dyDescent="0.3"/>
  <cols>
    <col min="1" max="16384" width="7.6640625" style="62"/>
  </cols>
  <sheetData>
    <row r="1" spans="1:6" ht="14.1" customHeight="1" x14ac:dyDescent="0.3">
      <c r="B1" s="128" t="str">
        <f>'Levantamento Campo'!B1</f>
        <v>Prj Estande de Tiro (50 m) – 5º BIL (Amv)</v>
      </c>
      <c r="C1" s="128"/>
      <c r="D1" s="128"/>
      <c r="E1" s="128"/>
      <c r="F1" s="128"/>
    </row>
    <row r="4" spans="1:6" customFormat="1" ht="14.4" x14ac:dyDescent="0.3">
      <c r="A4" s="62"/>
    </row>
    <row r="5" spans="1:6" customFormat="1" ht="14.4" x14ac:dyDescent="0.3">
      <c r="A5" s="62"/>
    </row>
    <row r="6" spans="1:6" customFormat="1" ht="14.4" x14ac:dyDescent="0.3">
      <c r="A6" s="62"/>
    </row>
    <row r="7" spans="1:6" customFormat="1" ht="14.4" x14ac:dyDescent="0.3">
      <c r="A7" s="62"/>
    </row>
    <row r="8" spans="1:6" customFormat="1" ht="14.4" x14ac:dyDescent="0.3">
      <c r="A8" s="62"/>
    </row>
  </sheetData>
  <mergeCells count="1">
    <mergeCell ref="B1:F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Q1048576"/>
  <sheetViews>
    <sheetView zoomScale="160" zoomScaleNormal="160" workbookViewId="0">
      <selection activeCell="B5" sqref="B5"/>
    </sheetView>
  </sheetViews>
  <sheetFormatPr defaultColWidth="7.6640625" defaultRowHeight="13.8" x14ac:dyDescent="0.3"/>
  <cols>
    <col min="1" max="16384" width="7.6640625" style="62"/>
  </cols>
  <sheetData>
    <row r="1" spans="2:23" ht="14.1" customHeight="1" x14ac:dyDescent="0.3">
      <c r="B1" s="146" t="str">
        <f>'Levantamento Campo'!B1</f>
        <v>Prj Estande de Tiro (50 m) – 5º BIL (Amv)</v>
      </c>
      <c r="C1" s="146"/>
      <c r="D1" s="146"/>
      <c r="E1" s="146"/>
      <c r="F1" s="146"/>
    </row>
    <row r="2" spans="2:23" ht="14.1" customHeight="1" x14ac:dyDescent="0.3">
      <c r="B2" s="45"/>
    </row>
    <row r="3" spans="2:23" ht="14.1" customHeight="1" x14ac:dyDescent="0.3">
      <c r="B3" s="143" t="s">
        <v>318</v>
      </c>
      <c r="C3" s="143"/>
      <c r="D3" s="143"/>
    </row>
    <row r="4" spans="2:23" ht="14.1" customHeight="1" x14ac:dyDescent="0.3">
      <c r="C4" s="12"/>
      <c r="E4" s="12"/>
      <c r="F4" s="117" t="s">
        <v>319</v>
      </c>
      <c r="G4" s="117"/>
      <c r="H4" s="117"/>
      <c r="I4" s="117"/>
      <c r="J4" s="117"/>
      <c r="K4" s="117"/>
      <c r="L4" s="117"/>
      <c r="M4" s="117"/>
      <c r="N4" s="153" t="s">
        <v>81</v>
      </c>
      <c r="O4" s="153"/>
      <c r="P4" s="153" t="s">
        <v>320</v>
      </c>
      <c r="Q4" s="153"/>
      <c r="R4" s="153" t="s">
        <v>321</v>
      </c>
      <c r="S4" s="153"/>
      <c r="T4" s="116" t="s">
        <v>322</v>
      </c>
      <c r="U4" s="116"/>
    </row>
    <row r="5" spans="2:23" ht="14.1" customHeight="1" x14ac:dyDescent="0.3">
      <c r="B5" s="116" t="s">
        <v>72</v>
      </c>
      <c r="C5" s="116"/>
      <c r="D5" s="116"/>
      <c r="E5" s="153" t="s">
        <v>323</v>
      </c>
      <c r="F5" s="116" t="s">
        <v>324</v>
      </c>
      <c r="G5" s="116" t="s">
        <v>325</v>
      </c>
      <c r="H5" s="116"/>
      <c r="I5" s="116"/>
      <c r="J5" s="116"/>
      <c r="K5" s="116"/>
      <c r="L5" s="116"/>
      <c r="M5" s="116"/>
      <c r="N5" s="9" t="s">
        <v>307</v>
      </c>
      <c r="O5" s="4" t="s">
        <v>6</v>
      </c>
      <c r="P5" s="46" t="s">
        <v>7</v>
      </c>
      <c r="Q5" s="9" t="s">
        <v>6</v>
      </c>
      <c r="R5" s="46" t="s">
        <v>7</v>
      </c>
      <c r="S5" s="9" t="s">
        <v>6</v>
      </c>
      <c r="T5" s="9" t="s">
        <v>307</v>
      </c>
      <c r="U5" s="9" t="s">
        <v>6</v>
      </c>
      <c r="W5" s="15"/>
    </row>
    <row r="6" spans="2:23" ht="14.1" customHeight="1" x14ac:dyDescent="0.3">
      <c r="B6" s="116"/>
      <c r="C6" s="116"/>
      <c r="D6" s="116"/>
      <c r="E6" s="153"/>
      <c r="F6" s="116"/>
      <c r="G6" s="9">
        <v>1.5</v>
      </c>
      <c r="H6" s="9">
        <v>2.5</v>
      </c>
      <c r="I6" s="9">
        <v>4</v>
      </c>
      <c r="J6" s="9">
        <v>10</v>
      </c>
      <c r="K6" s="9">
        <v>16</v>
      </c>
      <c r="L6" s="9">
        <v>25</v>
      </c>
      <c r="M6" s="9">
        <v>100</v>
      </c>
      <c r="N6" s="69" t="s">
        <v>13</v>
      </c>
      <c r="O6" s="69" t="s">
        <v>13</v>
      </c>
      <c r="P6" s="17" t="s">
        <v>13</v>
      </c>
      <c r="Q6" s="17" t="s">
        <v>13</v>
      </c>
      <c r="R6" s="17" t="s">
        <v>13</v>
      </c>
      <c r="S6" s="17" t="s">
        <v>13</v>
      </c>
      <c r="T6" s="17" t="s">
        <v>13</v>
      </c>
      <c r="U6" s="17" t="s">
        <v>13</v>
      </c>
      <c r="W6" s="15"/>
    </row>
    <row r="7" spans="2:23" ht="14.1" customHeight="1" x14ac:dyDescent="0.3">
      <c r="B7" s="148"/>
      <c r="C7" s="148"/>
      <c r="D7" s="148"/>
      <c r="E7" s="68"/>
      <c r="F7" s="68"/>
      <c r="G7" s="39"/>
      <c r="H7" s="39"/>
      <c r="I7" s="39"/>
      <c r="J7" s="39"/>
      <c r="K7" s="39"/>
      <c r="L7" s="39"/>
      <c r="M7" s="68"/>
      <c r="N7" s="63"/>
      <c r="O7" s="63"/>
      <c r="P7" s="63"/>
      <c r="Q7" s="63"/>
      <c r="R7" s="63"/>
      <c r="S7" s="63"/>
      <c r="T7" s="63"/>
      <c r="U7" s="63"/>
      <c r="W7" s="42"/>
    </row>
    <row r="8" spans="2:23" ht="14.1" customHeight="1" x14ac:dyDescent="0.3">
      <c r="B8" s="148"/>
      <c r="C8" s="148"/>
      <c r="D8" s="148"/>
      <c r="E8" s="68"/>
      <c r="F8" s="68"/>
      <c r="G8" s="39"/>
      <c r="H8" s="39"/>
      <c r="I8" s="39"/>
      <c r="J8" s="39"/>
      <c r="K8" s="39"/>
      <c r="L8" s="39"/>
      <c r="M8" s="68"/>
      <c r="N8" s="63"/>
      <c r="O8" s="63"/>
      <c r="P8" s="63"/>
      <c r="Q8" s="63"/>
      <c r="R8" s="63"/>
      <c r="S8" s="63"/>
      <c r="T8" s="63"/>
      <c r="U8" s="63"/>
      <c r="W8" s="42"/>
    </row>
    <row r="9" spans="2:23" ht="14.1" customHeight="1" x14ac:dyDescent="0.3">
      <c r="B9" s="148"/>
      <c r="C9" s="148"/>
      <c r="D9" s="148"/>
      <c r="E9" s="81"/>
      <c r="F9" s="81"/>
      <c r="G9" s="81"/>
      <c r="H9" s="81"/>
      <c r="I9" s="81"/>
      <c r="J9" s="39"/>
      <c r="K9" s="81"/>
      <c r="L9" s="81"/>
      <c r="M9" s="81"/>
      <c r="N9" s="63"/>
      <c r="O9" s="63"/>
      <c r="P9" s="63"/>
      <c r="Q9" s="63"/>
      <c r="R9" s="63"/>
      <c r="S9" s="63"/>
      <c r="T9" s="63"/>
      <c r="U9" s="63"/>
      <c r="W9" s="42"/>
    </row>
    <row r="10" spans="2:23" ht="14.1" customHeight="1" x14ac:dyDescent="0.3">
      <c r="B10" s="148"/>
      <c r="C10" s="148"/>
      <c r="D10" s="148"/>
      <c r="E10" s="81"/>
      <c r="F10" s="81"/>
      <c r="G10" s="81"/>
      <c r="H10" s="81"/>
      <c r="I10" s="81"/>
      <c r="J10" s="39"/>
      <c r="K10" s="81"/>
      <c r="L10" s="81"/>
      <c r="M10" s="81"/>
      <c r="N10" s="63"/>
      <c r="O10" s="63"/>
      <c r="P10" s="63"/>
      <c r="Q10" s="63"/>
      <c r="R10" s="63"/>
      <c r="S10" s="63"/>
      <c r="T10" s="63"/>
      <c r="U10" s="63"/>
      <c r="W10" s="42"/>
    </row>
    <row r="11" spans="2:23" ht="14.1" customHeight="1" x14ac:dyDescent="0.3">
      <c r="B11" s="148"/>
      <c r="C11" s="148"/>
      <c r="D11" s="148"/>
      <c r="E11" s="81"/>
      <c r="F11" s="68"/>
      <c r="G11" s="39"/>
      <c r="H11" s="39"/>
      <c r="I11" s="39"/>
      <c r="J11" s="39"/>
      <c r="K11" s="39"/>
      <c r="L11" s="39"/>
      <c r="M11" s="68"/>
      <c r="N11" s="63"/>
      <c r="O11" s="63"/>
      <c r="P11" s="63"/>
      <c r="Q11" s="63"/>
      <c r="R11" s="63"/>
      <c r="S11" s="63"/>
      <c r="T11" s="63"/>
      <c r="U11" s="63"/>
      <c r="W11" s="42"/>
    </row>
    <row r="12" spans="2:23" ht="14.1" customHeight="1" x14ac:dyDescent="0.3">
      <c r="B12" s="148"/>
      <c r="C12" s="148"/>
      <c r="D12" s="148"/>
      <c r="E12" s="81"/>
      <c r="F12" s="81"/>
      <c r="G12" s="81"/>
      <c r="H12" s="39"/>
      <c r="I12" s="39"/>
      <c r="J12" s="39"/>
      <c r="K12" s="39"/>
      <c r="L12" s="39"/>
      <c r="M12" s="81"/>
      <c r="N12" s="63"/>
      <c r="O12" s="63"/>
      <c r="P12" s="63"/>
      <c r="Q12" s="63"/>
      <c r="R12" s="63"/>
      <c r="S12" s="63"/>
      <c r="T12" s="63"/>
      <c r="U12" s="63"/>
      <c r="W12" s="42"/>
    </row>
    <row r="13" spans="2:23" ht="14.1" customHeight="1" x14ac:dyDescent="0.3">
      <c r="B13" s="148"/>
      <c r="C13" s="148"/>
      <c r="D13" s="148"/>
      <c r="E13" s="81"/>
      <c r="F13" s="81"/>
      <c r="G13" s="81"/>
      <c r="H13" s="39"/>
      <c r="I13" s="39"/>
      <c r="J13" s="39"/>
      <c r="K13" s="39"/>
      <c r="L13" s="39"/>
      <c r="M13" s="81"/>
      <c r="N13" s="63"/>
      <c r="O13" s="63"/>
      <c r="P13" s="63"/>
      <c r="Q13" s="63"/>
      <c r="R13" s="63"/>
      <c r="S13" s="63"/>
      <c r="T13" s="63"/>
      <c r="U13" s="63"/>
      <c r="W13" s="42"/>
    </row>
    <row r="14" spans="2:23" ht="14.1" customHeight="1" x14ac:dyDescent="0.3">
      <c r="B14" s="148"/>
      <c r="C14" s="148"/>
      <c r="D14" s="148"/>
      <c r="E14" s="81"/>
      <c r="F14" s="81"/>
      <c r="G14" s="39"/>
      <c r="H14" s="81"/>
      <c r="I14" s="39"/>
      <c r="J14" s="39"/>
      <c r="K14" s="81"/>
      <c r="L14" s="39"/>
      <c r="M14" s="81"/>
      <c r="N14" s="63"/>
      <c r="O14" s="63"/>
      <c r="P14" s="63"/>
      <c r="Q14" s="63"/>
      <c r="R14" s="63"/>
      <c r="S14" s="63"/>
      <c r="T14" s="63"/>
      <c r="U14" s="63"/>
      <c r="W14" s="42"/>
    </row>
    <row r="15" spans="2:23" ht="14.1" customHeight="1" x14ac:dyDescent="0.3">
      <c r="B15" s="148"/>
      <c r="C15" s="148"/>
      <c r="D15" s="148"/>
      <c r="E15" s="81"/>
      <c r="F15" s="81"/>
      <c r="G15" s="39"/>
      <c r="H15" s="81"/>
      <c r="I15" s="39"/>
      <c r="J15" s="39"/>
      <c r="K15" s="81"/>
      <c r="L15" s="39"/>
      <c r="M15" s="81"/>
      <c r="N15" s="63"/>
      <c r="O15" s="63"/>
      <c r="P15" s="63"/>
      <c r="Q15" s="63"/>
      <c r="R15" s="63"/>
      <c r="S15" s="63"/>
      <c r="T15" s="63"/>
      <c r="U15" s="63"/>
      <c r="W15" s="42"/>
    </row>
    <row r="16" spans="2:23" ht="14.1" customHeight="1" x14ac:dyDescent="0.3">
      <c r="B16" s="148"/>
      <c r="C16" s="148"/>
      <c r="D16" s="148"/>
      <c r="E16" s="68"/>
      <c r="F16" s="68"/>
      <c r="G16" s="39"/>
      <c r="H16" s="39"/>
      <c r="I16" s="39"/>
      <c r="J16" s="39"/>
      <c r="K16" s="39"/>
      <c r="L16" s="39"/>
      <c r="M16" s="68"/>
      <c r="N16" s="63"/>
      <c r="O16" s="63"/>
      <c r="P16" s="63"/>
      <c r="Q16" s="63"/>
      <c r="R16" s="63"/>
      <c r="S16" s="63"/>
      <c r="T16" s="63"/>
      <c r="U16" s="63"/>
    </row>
    <row r="17" spans="2:21" ht="14.1" customHeight="1" x14ac:dyDescent="0.3">
      <c r="B17" s="148"/>
      <c r="C17" s="148"/>
      <c r="D17" s="148"/>
      <c r="E17" s="68"/>
      <c r="F17" s="68"/>
      <c r="G17" s="39"/>
      <c r="H17" s="39"/>
      <c r="I17" s="39"/>
      <c r="J17" s="39"/>
      <c r="K17" s="39"/>
      <c r="L17" s="39"/>
      <c r="M17" s="68"/>
      <c r="N17" s="63"/>
      <c r="O17" s="63"/>
      <c r="P17" s="63"/>
      <c r="Q17" s="63"/>
      <c r="R17" s="63"/>
      <c r="S17" s="63"/>
      <c r="T17" s="63"/>
      <c r="U17" s="63"/>
    </row>
    <row r="18" spans="2:21" ht="14.1" customHeight="1" x14ac:dyDescent="0.3">
      <c r="B18" s="148"/>
      <c r="C18" s="148"/>
      <c r="D18" s="148"/>
      <c r="E18" s="81"/>
      <c r="F18" s="81"/>
      <c r="G18" s="81"/>
      <c r="H18" s="81"/>
      <c r="I18" s="81"/>
      <c r="J18" s="39"/>
      <c r="K18" s="81"/>
      <c r="L18" s="81"/>
      <c r="M18" s="81"/>
      <c r="N18" s="63"/>
      <c r="O18" s="63"/>
      <c r="P18" s="63"/>
      <c r="Q18" s="63"/>
      <c r="R18" s="63"/>
      <c r="S18" s="63"/>
      <c r="T18" s="63"/>
      <c r="U18" s="63"/>
    </row>
    <row r="19" spans="2:21" ht="14.1" customHeight="1" x14ac:dyDescent="0.3">
      <c r="B19" s="148"/>
      <c r="C19" s="148"/>
      <c r="D19" s="148"/>
      <c r="E19" s="81"/>
      <c r="F19" s="81"/>
      <c r="G19" s="81"/>
      <c r="H19" s="81"/>
      <c r="I19" s="81"/>
      <c r="J19" s="39"/>
      <c r="K19" s="81"/>
      <c r="L19" s="81"/>
      <c r="M19" s="81"/>
      <c r="N19" s="63"/>
      <c r="O19" s="63"/>
      <c r="P19" s="63"/>
      <c r="Q19" s="63"/>
      <c r="R19" s="63"/>
      <c r="S19" s="63"/>
      <c r="T19" s="63"/>
      <c r="U19" s="63"/>
    </row>
    <row r="20" spans="2:21" ht="14.1" customHeight="1" x14ac:dyDescent="0.3">
      <c r="B20" s="148"/>
      <c r="C20" s="148"/>
      <c r="D20" s="148"/>
      <c r="E20" s="81"/>
      <c r="F20" s="68"/>
      <c r="G20" s="39"/>
      <c r="H20" s="39"/>
      <c r="I20" s="39"/>
      <c r="J20" s="39"/>
      <c r="K20" s="39"/>
      <c r="L20" s="39"/>
      <c r="M20" s="68"/>
      <c r="N20" s="63"/>
      <c r="O20" s="63"/>
      <c r="P20" s="63"/>
      <c r="Q20" s="63"/>
      <c r="R20" s="63"/>
      <c r="S20" s="63"/>
      <c r="T20" s="63"/>
      <c r="U20" s="63"/>
    </row>
    <row r="21" spans="2:21" ht="14.1" customHeight="1" x14ac:dyDescent="0.3">
      <c r="B21" s="148"/>
      <c r="C21" s="148"/>
      <c r="D21" s="148"/>
      <c r="E21" s="81"/>
      <c r="F21" s="81"/>
      <c r="G21" s="81"/>
      <c r="H21" s="39"/>
      <c r="I21" s="39"/>
      <c r="J21" s="39"/>
      <c r="K21" s="39"/>
      <c r="L21" s="39"/>
      <c r="M21" s="81"/>
      <c r="N21" s="63"/>
      <c r="O21" s="63"/>
      <c r="P21" s="63"/>
      <c r="Q21" s="63"/>
      <c r="R21" s="63"/>
      <c r="S21" s="63"/>
      <c r="T21" s="63"/>
      <c r="U21" s="63"/>
    </row>
    <row r="22" spans="2:21" ht="14.1" customHeight="1" x14ac:dyDescent="0.3">
      <c r="B22" s="148"/>
      <c r="C22" s="148"/>
      <c r="D22" s="148"/>
      <c r="E22" s="81"/>
      <c r="F22" s="81"/>
      <c r="G22" s="81"/>
      <c r="H22" s="39"/>
      <c r="I22" s="39"/>
      <c r="J22" s="39"/>
      <c r="K22" s="39"/>
      <c r="L22" s="39"/>
      <c r="M22" s="81"/>
      <c r="N22" s="63"/>
      <c r="O22" s="63"/>
      <c r="P22" s="63"/>
      <c r="Q22" s="63"/>
      <c r="R22" s="63"/>
      <c r="S22" s="63"/>
      <c r="T22" s="63"/>
      <c r="U22" s="63"/>
    </row>
    <row r="23" spans="2:21" ht="14.1" customHeight="1" x14ac:dyDescent="0.3">
      <c r="B23" s="148"/>
      <c r="C23" s="148"/>
      <c r="D23" s="148"/>
      <c r="E23" s="81"/>
      <c r="F23" s="81"/>
      <c r="G23" s="39"/>
      <c r="H23" s="81"/>
      <c r="I23" s="39"/>
      <c r="J23" s="39"/>
      <c r="K23" s="81"/>
      <c r="L23" s="39"/>
      <c r="M23" s="81"/>
      <c r="N23" s="63"/>
      <c r="O23" s="63"/>
      <c r="P23" s="63"/>
      <c r="Q23" s="63"/>
      <c r="R23" s="63"/>
      <c r="S23" s="63"/>
      <c r="T23" s="63"/>
      <c r="U23" s="63"/>
    </row>
    <row r="24" spans="2:21" ht="14.1" customHeight="1" x14ac:dyDescent="0.3">
      <c r="B24" s="132" t="s">
        <v>29</v>
      </c>
      <c r="C24" s="132"/>
      <c r="D24" s="132"/>
      <c r="E24" s="132"/>
      <c r="F24" s="132"/>
      <c r="G24" s="54">
        <f t="shared" ref="G24:M24" si="0">SUM(G7:G23)</f>
        <v>0</v>
      </c>
      <c r="H24" s="54">
        <f t="shared" si="0"/>
        <v>0</v>
      </c>
      <c r="I24" s="54">
        <f t="shared" si="0"/>
        <v>0</v>
      </c>
      <c r="J24" s="54">
        <f t="shared" si="0"/>
        <v>0</v>
      </c>
      <c r="K24" s="54">
        <f t="shared" si="0"/>
        <v>0</v>
      </c>
      <c r="L24" s="54">
        <f t="shared" si="0"/>
        <v>0</v>
      </c>
      <c r="M24" s="54">
        <f t="shared" si="0"/>
        <v>0</v>
      </c>
      <c r="N24" s="54"/>
      <c r="O24" s="54">
        <f>SUM(O7:O23)</f>
        <v>0</v>
      </c>
      <c r="P24" s="54"/>
      <c r="Q24" s="54">
        <f>SUM(Q7:Q23)</f>
        <v>0</v>
      </c>
      <c r="R24" s="54"/>
      <c r="S24" s="54">
        <f>SUM(S7:S23)</f>
        <v>0</v>
      </c>
      <c r="T24" s="54"/>
      <c r="U24" s="54">
        <f>SUM(U7:U23)</f>
        <v>0</v>
      </c>
    </row>
    <row r="27" spans="2:21" ht="14.1" customHeight="1" x14ac:dyDescent="0.3">
      <c r="B27" s="143" t="s">
        <v>326</v>
      </c>
      <c r="C27" s="143"/>
      <c r="D27" s="143"/>
    </row>
    <row r="28" spans="2:21" ht="14.1" customHeight="1" x14ac:dyDescent="0.3">
      <c r="N28" s="116" t="s">
        <v>327</v>
      </c>
      <c r="O28" s="116"/>
      <c r="P28" s="116"/>
      <c r="Q28" s="116"/>
      <c r="R28" s="116"/>
      <c r="S28" s="116"/>
    </row>
    <row r="29" spans="2:21" ht="14.1" customHeight="1" x14ac:dyDescent="0.3">
      <c r="F29" s="117" t="s">
        <v>328</v>
      </c>
      <c r="G29" s="117"/>
      <c r="H29" s="117"/>
      <c r="I29" s="117"/>
      <c r="J29" s="117"/>
      <c r="K29" s="117"/>
      <c r="L29" s="117"/>
      <c r="M29" s="117"/>
      <c r="N29" s="116" t="s">
        <v>329</v>
      </c>
      <c r="O29" s="116"/>
      <c r="P29" s="116" t="s">
        <v>330</v>
      </c>
      <c r="Q29" s="116"/>
      <c r="R29" s="116" t="s">
        <v>331</v>
      </c>
      <c r="S29" s="116"/>
    </row>
    <row r="30" spans="2:21" ht="14.1" customHeight="1" x14ac:dyDescent="0.3">
      <c r="B30" s="116" t="s">
        <v>72</v>
      </c>
      <c r="C30" s="116"/>
      <c r="D30" s="116"/>
      <c r="E30" s="153" t="s">
        <v>323</v>
      </c>
      <c r="F30" s="116" t="s">
        <v>324</v>
      </c>
      <c r="G30" s="116" t="s">
        <v>325</v>
      </c>
      <c r="H30" s="116"/>
      <c r="I30" s="116"/>
      <c r="J30" s="116"/>
      <c r="K30" s="116"/>
      <c r="L30" s="116"/>
      <c r="M30" s="116"/>
      <c r="N30" s="9" t="s">
        <v>332</v>
      </c>
      <c r="O30" s="9" t="s">
        <v>6</v>
      </c>
      <c r="P30" s="9" t="s">
        <v>332</v>
      </c>
      <c r="Q30" s="9" t="s">
        <v>6</v>
      </c>
      <c r="R30" s="9" t="s">
        <v>332</v>
      </c>
      <c r="S30" s="9" t="s">
        <v>6</v>
      </c>
    </row>
    <row r="31" spans="2:21" ht="14.1" customHeight="1" x14ac:dyDescent="0.3">
      <c r="B31" s="116"/>
      <c r="C31" s="116"/>
      <c r="D31" s="116"/>
      <c r="E31" s="153"/>
      <c r="F31" s="116"/>
      <c r="G31" s="9">
        <v>1.5</v>
      </c>
      <c r="H31" s="9">
        <v>2.5</v>
      </c>
      <c r="I31" s="9">
        <v>4</v>
      </c>
      <c r="J31" s="9">
        <v>10</v>
      </c>
      <c r="K31" s="9">
        <v>16</v>
      </c>
      <c r="L31" s="9">
        <v>25</v>
      </c>
      <c r="M31" s="9">
        <v>100</v>
      </c>
      <c r="N31" s="17" t="s">
        <v>298</v>
      </c>
      <c r="O31" s="17" t="s">
        <v>13</v>
      </c>
      <c r="P31" s="17" t="s">
        <v>298</v>
      </c>
      <c r="Q31" s="17" t="s">
        <v>13</v>
      </c>
      <c r="R31" s="17" t="s">
        <v>298</v>
      </c>
      <c r="S31" s="17" t="s">
        <v>13</v>
      </c>
    </row>
    <row r="32" spans="2:21" ht="14.1" customHeight="1" x14ac:dyDescent="0.3">
      <c r="B32" s="148"/>
      <c r="C32" s="148"/>
      <c r="D32" s="148"/>
      <c r="E32" s="68"/>
      <c r="F32" s="68"/>
      <c r="G32" s="39"/>
      <c r="H32" s="39"/>
      <c r="I32" s="39"/>
      <c r="J32" s="39"/>
      <c r="K32" s="39"/>
      <c r="L32" s="39"/>
      <c r="M32" s="68"/>
      <c r="N32" s="63"/>
      <c r="O32" s="63"/>
      <c r="P32" s="63"/>
      <c r="Q32" s="63"/>
      <c r="R32" s="63"/>
      <c r="S32" s="63"/>
    </row>
    <row r="33" spans="2:19" ht="14.1" customHeight="1" x14ac:dyDescent="0.3">
      <c r="B33" s="148"/>
      <c r="C33" s="148"/>
      <c r="D33" s="148"/>
      <c r="E33" s="68"/>
      <c r="F33" s="68"/>
      <c r="G33" s="39"/>
      <c r="H33" s="39"/>
      <c r="I33" s="39"/>
      <c r="J33" s="39"/>
      <c r="K33" s="39"/>
      <c r="L33" s="39"/>
      <c r="M33" s="68"/>
      <c r="N33" s="63"/>
      <c r="O33" s="63"/>
      <c r="P33" s="63"/>
      <c r="Q33" s="63"/>
      <c r="R33" s="63"/>
      <c r="S33" s="63"/>
    </row>
    <row r="34" spans="2:19" ht="14.1" customHeight="1" x14ac:dyDescent="0.3">
      <c r="B34" s="148"/>
      <c r="C34" s="148"/>
      <c r="D34" s="148"/>
      <c r="E34" s="81"/>
      <c r="F34" s="81"/>
      <c r="G34" s="81"/>
      <c r="H34" s="81"/>
      <c r="I34" s="81"/>
      <c r="J34" s="39"/>
      <c r="K34" s="81"/>
      <c r="L34" s="81"/>
      <c r="M34" s="81"/>
      <c r="N34" s="63"/>
      <c r="O34" s="63"/>
      <c r="P34" s="63"/>
      <c r="Q34" s="63"/>
      <c r="R34" s="63"/>
      <c r="S34" s="63"/>
    </row>
    <row r="35" spans="2:19" ht="14.1" customHeight="1" x14ac:dyDescent="0.3">
      <c r="B35" s="148"/>
      <c r="C35" s="148"/>
      <c r="D35" s="148"/>
      <c r="E35" s="81"/>
      <c r="F35" s="81"/>
      <c r="G35" s="81"/>
      <c r="H35" s="81"/>
      <c r="I35" s="81"/>
      <c r="J35" s="39"/>
      <c r="K35" s="81"/>
      <c r="L35" s="81"/>
      <c r="M35" s="81"/>
      <c r="N35" s="63"/>
      <c r="O35" s="63"/>
      <c r="P35" s="63"/>
      <c r="Q35" s="63"/>
      <c r="R35" s="63"/>
      <c r="S35" s="63"/>
    </row>
    <row r="36" spans="2:19" ht="14.1" customHeight="1" x14ac:dyDescent="0.3">
      <c r="B36" s="148"/>
      <c r="C36" s="148"/>
      <c r="D36" s="148"/>
      <c r="E36" s="81"/>
      <c r="F36" s="68"/>
      <c r="G36" s="39"/>
      <c r="H36" s="39"/>
      <c r="I36" s="39"/>
      <c r="J36" s="39"/>
      <c r="K36" s="39"/>
      <c r="L36" s="39"/>
      <c r="M36" s="68"/>
      <c r="N36" s="63"/>
      <c r="O36" s="63"/>
      <c r="P36" s="63"/>
      <c r="Q36" s="63"/>
      <c r="R36" s="63"/>
      <c r="S36" s="63"/>
    </row>
    <row r="37" spans="2:19" ht="14.1" customHeight="1" x14ac:dyDescent="0.3">
      <c r="B37" s="148"/>
      <c r="C37" s="148"/>
      <c r="D37" s="148"/>
      <c r="E37" s="81"/>
      <c r="F37" s="81"/>
      <c r="G37" s="81"/>
      <c r="H37" s="39"/>
      <c r="I37" s="39"/>
      <c r="J37" s="39"/>
      <c r="K37" s="39"/>
      <c r="L37" s="39"/>
      <c r="M37" s="81"/>
      <c r="N37" s="63"/>
      <c r="O37" s="63"/>
      <c r="P37" s="63"/>
      <c r="Q37" s="63"/>
      <c r="R37" s="63"/>
      <c r="S37" s="63"/>
    </row>
    <row r="38" spans="2:19" ht="14.1" customHeight="1" x14ac:dyDescent="0.3">
      <c r="B38" s="148"/>
      <c r="C38" s="148"/>
      <c r="D38" s="148"/>
      <c r="E38" s="81"/>
      <c r="F38" s="81"/>
      <c r="G38" s="81"/>
      <c r="H38" s="39"/>
      <c r="I38" s="39"/>
      <c r="J38" s="39"/>
      <c r="K38" s="39"/>
      <c r="L38" s="39"/>
      <c r="M38" s="81"/>
      <c r="N38" s="63"/>
      <c r="O38" s="63"/>
      <c r="P38" s="63"/>
      <c r="Q38" s="63"/>
      <c r="R38" s="63"/>
      <c r="S38" s="63"/>
    </row>
    <row r="39" spans="2:19" ht="14.1" customHeight="1" x14ac:dyDescent="0.3">
      <c r="B39" s="148"/>
      <c r="C39" s="148"/>
      <c r="D39" s="148"/>
      <c r="E39" s="81"/>
      <c r="F39" s="81"/>
      <c r="G39" s="39"/>
      <c r="H39" s="81"/>
      <c r="I39" s="39"/>
      <c r="J39" s="39"/>
      <c r="K39" s="81"/>
      <c r="L39" s="39"/>
      <c r="M39" s="81"/>
      <c r="N39" s="63"/>
      <c r="O39" s="63"/>
      <c r="P39" s="63"/>
      <c r="Q39" s="63"/>
      <c r="R39" s="63"/>
      <c r="S39" s="63"/>
    </row>
    <row r="40" spans="2:19" ht="14.1" customHeight="1" x14ac:dyDescent="0.3">
      <c r="B40" s="148"/>
      <c r="C40" s="148"/>
      <c r="D40" s="148"/>
      <c r="E40" s="81"/>
      <c r="F40" s="81"/>
      <c r="G40" s="39"/>
      <c r="H40" s="81"/>
      <c r="I40" s="39"/>
      <c r="J40" s="39"/>
      <c r="K40" s="81"/>
      <c r="L40" s="39"/>
      <c r="M40" s="81"/>
      <c r="N40" s="63"/>
      <c r="O40" s="63"/>
      <c r="P40" s="63"/>
      <c r="Q40" s="63"/>
      <c r="R40" s="63"/>
      <c r="S40" s="63"/>
    </row>
    <row r="41" spans="2:19" ht="14.1" customHeight="1" x14ac:dyDescent="0.3">
      <c r="B41" s="148"/>
      <c r="C41" s="148"/>
      <c r="D41" s="148"/>
      <c r="E41" s="68"/>
      <c r="F41" s="68"/>
      <c r="G41" s="39"/>
      <c r="H41" s="39"/>
      <c r="I41" s="39"/>
      <c r="J41" s="39"/>
      <c r="K41" s="39"/>
      <c r="L41" s="39"/>
      <c r="M41" s="68"/>
      <c r="N41" s="63"/>
      <c r="O41" s="63"/>
      <c r="P41" s="63"/>
      <c r="Q41" s="63"/>
      <c r="R41" s="63"/>
      <c r="S41" s="63"/>
    </row>
    <row r="42" spans="2:19" ht="14.1" customHeight="1" x14ac:dyDescent="0.3">
      <c r="B42" s="148"/>
      <c r="C42" s="148"/>
      <c r="D42" s="148"/>
      <c r="E42" s="68"/>
      <c r="F42" s="68"/>
      <c r="G42" s="39"/>
      <c r="H42" s="39"/>
      <c r="I42" s="39"/>
      <c r="J42" s="39"/>
      <c r="K42" s="39"/>
      <c r="L42" s="39"/>
      <c r="M42" s="68"/>
      <c r="N42" s="63"/>
      <c r="O42" s="63"/>
      <c r="P42" s="63"/>
      <c r="Q42" s="63"/>
      <c r="R42" s="63"/>
      <c r="S42" s="63"/>
    </row>
    <row r="43" spans="2:19" ht="14.1" customHeight="1" x14ac:dyDescent="0.3">
      <c r="B43" s="148"/>
      <c r="C43" s="148"/>
      <c r="D43" s="148"/>
      <c r="E43" s="81"/>
      <c r="F43" s="81"/>
      <c r="G43" s="81"/>
      <c r="H43" s="81"/>
      <c r="I43" s="81"/>
      <c r="J43" s="39"/>
      <c r="K43" s="81"/>
      <c r="L43" s="81"/>
      <c r="M43" s="81"/>
      <c r="N43" s="63"/>
      <c r="O43" s="63"/>
      <c r="P43" s="63"/>
      <c r="Q43" s="63"/>
      <c r="R43" s="63"/>
      <c r="S43" s="63"/>
    </row>
    <row r="44" spans="2:19" ht="14.1" customHeight="1" x14ac:dyDescent="0.3">
      <c r="B44" s="148"/>
      <c r="C44" s="148"/>
      <c r="D44" s="148"/>
      <c r="E44" s="81"/>
      <c r="F44" s="81"/>
      <c r="G44" s="81"/>
      <c r="H44" s="81"/>
      <c r="I44" s="81"/>
      <c r="J44" s="39"/>
      <c r="K44" s="81"/>
      <c r="L44" s="81"/>
      <c r="M44" s="81"/>
      <c r="N44" s="63"/>
      <c r="O44" s="63"/>
      <c r="P44" s="63"/>
      <c r="Q44" s="63"/>
      <c r="R44" s="63"/>
      <c r="S44" s="63"/>
    </row>
    <row r="45" spans="2:19" ht="14.1" customHeight="1" x14ac:dyDescent="0.3">
      <c r="B45" s="148"/>
      <c r="C45" s="148"/>
      <c r="D45" s="148"/>
      <c r="E45" s="81"/>
      <c r="F45" s="68"/>
      <c r="G45" s="39"/>
      <c r="H45" s="39"/>
      <c r="I45" s="39"/>
      <c r="J45" s="39"/>
      <c r="K45" s="39"/>
      <c r="L45" s="39"/>
      <c r="M45" s="68"/>
      <c r="N45" s="63"/>
      <c r="O45" s="63"/>
      <c r="P45" s="63"/>
      <c r="Q45" s="63"/>
      <c r="R45" s="63"/>
      <c r="S45" s="63"/>
    </row>
    <row r="46" spans="2:19" ht="14.1" customHeight="1" x14ac:dyDescent="0.3">
      <c r="B46" s="148"/>
      <c r="C46" s="148"/>
      <c r="D46" s="148"/>
      <c r="E46" s="81"/>
      <c r="F46" s="81"/>
      <c r="G46" s="81"/>
      <c r="H46" s="39"/>
      <c r="I46" s="39"/>
      <c r="J46" s="39"/>
      <c r="K46" s="39"/>
      <c r="L46" s="39"/>
      <c r="M46" s="81"/>
      <c r="N46" s="63"/>
      <c r="O46" s="63"/>
      <c r="P46" s="63"/>
      <c r="Q46" s="63"/>
      <c r="R46" s="63"/>
      <c r="S46" s="63"/>
    </row>
    <row r="47" spans="2:19" ht="14.1" customHeight="1" x14ac:dyDescent="0.3">
      <c r="B47" s="148"/>
      <c r="C47" s="148"/>
      <c r="D47" s="148"/>
      <c r="E47" s="81"/>
      <c r="F47" s="81"/>
      <c r="G47" s="81"/>
      <c r="H47" s="39"/>
      <c r="I47" s="39"/>
      <c r="J47" s="39"/>
      <c r="K47" s="39"/>
      <c r="L47" s="39"/>
      <c r="M47" s="81"/>
      <c r="N47" s="63"/>
      <c r="O47" s="63"/>
      <c r="P47" s="63"/>
      <c r="Q47" s="63"/>
      <c r="R47" s="63"/>
      <c r="S47" s="63"/>
    </row>
    <row r="48" spans="2:19" ht="14.1" customHeight="1" x14ac:dyDescent="0.3">
      <c r="B48" s="148"/>
      <c r="C48" s="148"/>
      <c r="D48" s="148"/>
      <c r="E48" s="81"/>
      <c r="F48" s="81"/>
      <c r="G48" s="39"/>
      <c r="H48" s="81"/>
      <c r="I48" s="39"/>
      <c r="J48" s="39"/>
      <c r="K48" s="81"/>
      <c r="L48" s="39"/>
      <c r="M48" s="81"/>
      <c r="N48" s="63"/>
      <c r="O48" s="63"/>
      <c r="P48" s="63"/>
      <c r="Q48" s="63"/>
      <c r="R48" s="63"/>
      <c r="S48" s="63"/>
    </row>
    <row r="49" spans="2:43" ht="14.1" customHeight="1" x14ac:dyDescent="0.3">
      <c r="B49" s="132" t="s">
        <v>29</v>
      </c>
      <c r="C49" s="132"/>
      <c r="D49" s="132"/>
      <c r="E49" s="132"/>
      <c r="F49" s="132"/>
      <c r="G49" s="54">
        <f t="shared" ref="G49:M49" si="1">SUM(G32:G48)</f>
        <v>0</v>
      </c>
      <c r="H49" s="54">
        <f t="shared" si="1"/>
        <v>0</v>
      </c>
      <c r="I49" s="54">
        <f t="shared" si="1"/>
        <v>0</v>
      </c>
      <c r="J49" s="54">
        <f t="shared" si="1"/>
        <v>0</v>
      </c>
      <c r="K49" s="54">
        <f t="shared" si="1"/>
        <v>0</v>
      </c>
      <c r="L49" s="54">
        <f t="shared" si="1"/>
        <v>0</v>
      </c>
      <c r="M49" s="54">
        <f t="shared" si="1"/>
        <v>0</v>
      </c>
      <c r="N49" s="54"/>
      <c r="O49" s="54">
        <f>SUM(O32:O48)</f>
        <v>0</v>
      </c>
      <c r="P49" s="54"/>
      <c r="Q49" s="54">
        <f>SUM(Q32:Q48)</f>
        <v>0</v>
      </c>
      <c r="R49" s="54"/>
      <c r="S49" s="54">
        <f>SUM(S32:S48)</f>
        <v>0</v>
      </c>
    </row>
    <row r="52" spans="2:43" ht="14.1" customHeight="1" x14ac:dyDescent="0.3">
      <c r="B52" s="143" t="s">
        <v>333</v>
      </c>
      <c r="C52" s="143"/>
      <c r="D52" s="143"/>
    </row>
    <row r="53" spans="2:43" ht="14.1" customHeight="1" x14ac:dyDescent="0.3">
      <c r="K53" s="14"/>
      <c r="L53" s="14"/>
      <c r="M53" s="14"/>
      <c r="N53" s="14"/>
      <c r="O53" s="14"/>
      <c r="P53" s="14"/>
      <c r="Q53" s="14"/>
      <c r="R53" s="15"/>
      <c r="S53" s="15"/>
      <c r="T53" s="15"/>
      <c r="U53" s="15"/>
      <c r="V53" s="15"/>
      <c r="W53" s="15"/>
    </row>
    <row r="54" spans="2:43" ht="14.1" customHeight="1" x14ac:dyDescent="0.3">
      <c r="F54" s="116" t="s">
        <v>334</v>
      </c>
      <c r="G54" s="116"/>
      <c r="H54" s="116"/>
      <c r="I54" s="116"/>
      <c r="J54" s="116"/>
      <c r="K54" s="117" t="s">
        <v>319</v>
      </c>
      <c r="L54" s="117"/>
      <c r="M54" s="117"/>
      <c r="N54" s="117"/>
      <c r="O54" s="117"/>
      <c r="P54" s="116" t="s">
        <v>24</v>
      </c>
      <c r="Q54" s="116"/>
      <c r="R54" s="116"/>
      <c r="S54" s="116"/>
      <c r="T54" s="116"/>
      <c r="U54" s="116"/>
      <c r="V54" s="116"/>
      <c r="W54" s="15"/>
      <c r="X54" s="15"/>
      <c r="Y54" s="15"/>
      <c r="Z54" s="15"/>
      <c r="AL54" s="116" t="s">
        <v>335</v>
      </c>
      <c r="AM54" s="116"/>
      <c r="AN54" s="116"/>
      <c r="AO54" s="116"/>
      <c r="AP54" s="116"/>
      <c r="AQ54" s="116"/>
    </row>
    <row r="55" spans="2:43" ht="14.1" customHeight="1" x14ac:dyDescent="0.3">
      <c r="B55" s="116" t="s">
        <v>72</v>
      </c>
      <c r="C55" s="116"/>
      <c r="D55" s="116"/>
      <c r="E55" s="116" t="s">
        <v>323</v>
      </c>
      <c r="F55" s="159" t="s">
        <v>11</v>
      </c>
      <c r="G55" s="116" t="s">
        <v>336</v>
      </c>
      <c r="H55" s="116"/>
      <c r="I55" s="116"/>
      <c r="J55" s="116"/>
      <c r="K55" s="153" t="s">
        <v>337</v>
      </c>
      <c r="L55" s="153"/>
      <c r="M55" s="153"/>
      <c r="N55" s="153"/>
      <c r="O55" s="153"/>
      <c r="P55" s="116" t="s">
        <v>338</v>
      </c>
      <c r="Q55" s="116"/>
      <c r="R55" s="116"/>
      <c r="S55" s="116"/>
      <c r="T55" s="116"/>
      <c r="U55" s="116" t="s">
        <v>327</v>
      </c>
      <c r="V55" s="116"/>
      <c r="W55" s="21"/>
      <c r="X55" s="21"/>
      <c r="Y55" s="21"/>
      <c r="Z55" s="21"/>
      <c r="AL55" s="116" t="s">
        <v>339</v>
      </c>
      <c r="AM55" s="116"/>
      <c r="AN55" s="116"/>
      <c r="AO55" s="116" t="s">
        <v>340</v>
      </c>
      <c r="AP55" s="116"/>
      <c r="AQ55" s="116"/>
    </row>
    <row r="56" spans="2:43" ht="14.1" customHeight="1" x14ac:dyDescent="0.3">
      <c r="B56" s="116"/>
      <c r="C56" s="116"/>
      <c r="D56" s="116"/>
      <c r="E56" s="116"/>
      <c r="F56" s="159"/>
      <c r="G56" s="9"/>
      <c r="H56" s="9"/>
      <c r="I56" s="9"/>
      <c r="J56" s="9"/>
      <c r="K56" s="9">
        <v>1.5</v>
      </c>
      <c r="L56" s="9">
        <v>2.5</v>
      </c>
      <c r="M56" s="9">
        <v>4</v>
      </c>
      <c r="N56" s="9">
        <v>10</v>
      </c>
      <c r="O56" s="9">
        <v>16</v>
      </c>
      <c r="P56" s="9" t="s">
        <v>7</v>
      </c>
      <c r="Q56" s="9" t="s">
        <v>8</v>
      </c>
      <c r="R56" s="9" t="s">
        <v>6</v>
      </c>
      <c r="S56" s="9" t="s">
        <v>341</v>
      </c>
      <c r="T56" s="37" t="s">
        <v>342</v>
      </c>
      <c r="U56" s="9" t="s">
        <v>332</v>
      </c>
      <c r="V56" s="9" t="s">
        <v>6</v>
      </c>
      <c r="W56" s="117" t="s">
        <v>20</v>
      </c>
      <c r="X56" s="117"/>
      <c r="Y56" s="117"/>
      <c r="Z56" s="117"/>
      <c r="AA56" s="117"/>
      <c r="AB56" s="117"/>
      <c r="AC56" s="117"/>
      <c r="AD56" s="117"/>
      <c r="AE56" s="117"/>
      <c r="AF56" s="117" t="s">
        <v>21</v>
      </c>
      <c r="AG56" s="117"/>
      <c r="AH56" s="117" t="s">
        <v>343</v>
      </c>
      <c r="AI56" s="117"/>
      <c r="AJ56" s="117" t="s">
        <v>23</v>
      </c>
      <c r="AK56" s="117"/>
      <c r="AL56" s="9" t="s">
        <v>332</v>
      </c>
      <c r="AM56" s="9" t="s">
        <v>6</v>
      </c>
      <c r="AN56" s="116" t="s">
        <v>89</v>
      </c>
      <c r="AO56" s="116" t="s">
        <v>89</v>
      </c>
      <c r="AP56" s="9" t="s">
        <v>332</v>
      </c>
      <c r="AQ56" s="9" t="s">
        <v>8</v>
      </c>
    </row>
    <row r="57" spans="2:43" ht="14.1" customHeight="1" x14ac:dyDescent="0.3">
      <c r="B57" s="148"/>
      <c r="C57" s="148"/>
      <c r="D57" s="148"/>
      <c r="E57" s="68"/>
      <c r="F57" s="63"/>
      <c r="G57" s="63"/>
      <c r="H57" s="18"/>
      <c r="I57" s="18"/>
      <c r="J57" s="18"/>
      <c r="K57" s="18" t="s">
        <v>344</v>
      </c>
      <c r="L57" s="18" t="s">
        <v>344</v>
      </c>
      <c r="M57" s="18" t="s">
        <v>344</v>
      </c>
      <c r="N57" s="18" t="s">
        <v>344</v>
      </c>
      <c r="O57" s="18" t="s">
        <v>344</v>
      </c>
      <c r="P57" s="17" t="s">
        <v>220</v>
      </c>
      <c r="Q57" s="17" t="s">
        <v>220</v>
      </c>
      <c r="R57" s="17" t="s">
        <v>13</v>
      </c>
      <c r="S57" s="17" t="s">
        <v>220</v>
      </c>
      <c r="T57" s="17" t="s">
        <v>220</v>
      </c>
      <c r="U57" s="17" t="s">
        <v>298</v>
      </c>
      <c r="V57" s="17" t="s">
        <v>13</v>
      </c>
      <c r="W57" s="52" t="s">
        <v>345</v>
      </c>
      <c r="X57" s="52" t="s">
        <v>6</v>
      </c>
      <c r="Y57" s="52" t="s">
        <v>346</v>
      </c>
      <c r="Z57" s="52" t="s">
        <v>347</v>
      </c>
      <c r="AA57" s="52" t="s">
        <v>348</v>
      </c>
      <c r="AB57" s="52" t="s">
        <v>349</v>
      </c>
      <c r="AC57" s="52" t="s">
        <v>350</v>
      </c>
      <c r="AD57" s="52" t="s">
        <v>351</v>
      </c>
      <c r="AE57" s="52" t="s">
        <v>352</v>
      </c>
      <c r="AF57" s="10" t="s">
        <v>11</v>
      </c>
      <c r="AG57" s="9" t="s">
        <v>89</v>
      </c>
      <c r="AH57" s="10" t="s">
        <v>11</v>
      </c>
      <c r="AI57" s="9" t="s">
        <v>89</v>
      </c>
      <c r="AJ57" s="10" t="s">
        <v>11</v>
      </c>
      <c r="AK57" s="10" t="s">
        <v>89</v>
      </c>
      <c r="AL57" s="17" t="s">
        <v>353</v>
      </c>
      <c r="AM57" s="17" t="s">
        <v>13</v>
      </c>
      <c r="AN57" s="116"/>
      <c r="AO57" s="116"/>
      <c r="AP57" s="17" t="s">
        <v>353</v>
      </c>
      <c r="AQ57" s="17" t="s">
        <v>298</v>
      </c>
    </row>
    <row r="58" spans="2:43" ht="14.1" customHeight="1" x14ac:dyDescent="0.3">
      <c r="B58" s="148"/>
      <c r="C58" s="148"/>
      <c r="D58" s="148"/>
      <c r="E58" s="68"/>
      <c r="F58" s="63"/>
      <c r="G58" s="63"/>
      <c r="H58" s="39"/>
      <c r="I58" s="39"/>
      <c r="J58" s="39"/>
      <c r="K58" s="39"/>
      <c r="L58" s="39"/>
      <c r="M58" s="39"/>
      <c r="N58" s="39"/>
      <c r="O58" s="39"/>
      <c r="P58" s="72"/>
      <c r="Q58" s="72"/>
      <c r="R58" s="72"/>
      <c r="S58" s="17"/>
      <c r="T58" s="17"/>
      <c r="U58" s="72"/>
      <c r="V58" s="72"/>
      <c r="W58" s="63"/>
      <c r="X58" s="63"/>
      <c r="Y58" s="39"/>
      <c r="Z58" s="39"/>
      <c r="AA58" s="39"/>
      <c r="AB58" s="39"/>
      <c r="AC58" s="39"/>
      <c r="AD58" s="72"/>
      <c r="AE58" s="72"/>
      <c r="AF58" s="72"/>
      <c r="AG58" s="17"/>
      <c r="AH58" s="17"/>
      <c r="AI58" s="72"/>
      <c r="AJ58" s="72"/>
      <c r="AK58" s="63"/>
      <c r="AL58" s="63"/>
      <c r="AM58" s="63"/>
      <c r="AN58" s="39"/>
      <c r="AO58" s="39"/>
      <c r="AP58" s="39"/>
      <c r="AQ58" s="39"/>
    </row>
    <row r="59" spans="2:43" ht="14.1" customHeight="1" x14ac:dyDescent="0.3">
      <c r="B59" s="148"/>
      <c r="C59" s="148"/>
      <c r="D59" s="148"/>
      <c r="E59" s="81"/>
      <c r="F59" s="63"/>
      <c r="G59" s="63"/>
      <c r="H59" s="39"/>
      <c r="I59" s="39"/>
      <c r="J59" s="39"/>
      <c r="K59" s="39"/>
      <c r="L59" s="39"/>
      <c r="M59" s="39"/>
      <c r="N59" s="39"/>
      <c r="O59" s="39"/>
      <c r="P59" s="102"/>
      <c r="Q59" s="84"/>
      <c r="R59" s="39"/>
      <c r="S59" s="102"/>
      <c r="T59" s="102"/>
      <c r="U59" s="102"/>
      <c r="V59" s="102"/>
      <c r="W59" s="63"/>
      <c r="X59" s="63"/>
      <c r="Y59" s="39"/>
      <c r="Z59" s="39"/>
      <c r="AA59" s="39"/>
      <c r="AB59" s="39"/>
      <c r="AC59" s="39"/>
      <c r="AD59" s="102"/>
      <c r="AE59" s="84"/>
      <c r="AF59" s="39"/>
      <c r="AG59" s="102"/>
      <c r="AH59" s="102"/>
      <c r="AI59" s="102"/>
      <c r="AJ59" s="102"/>
      <c r="AK59" s="63"/>
      <c r="AL59" s="63"/>
      <c r="AM59" s="63"/>
      <c r="AN59" s="39"/>
      <c r="AO59" s="39"/>
      <c r="AP59" s="39"/>
      <c r="AQ59" s="39"/>
    </row>
    <row r="60" spans="2:43" ht="14.1" customHeight="1" x14ac:dyDescent="0.3">
      <c r="B60" s="148"/>
      <c r="C60" s="148"/>
      <c r="D60" s="148"/>
      <c r="E60" s="81"/>
      <c r="F60" s="63"/>
      <c r="G60" s="63"/>
      <c r="H60" s="39"/>
      <c r="I60" s="39"/>
      <c r="J60" s="39"/>
      <c r="K60" s="39"/>
      <c r="L60" s="39"/>
      <c r="M60" s="39"/>
      <c r="N60" s="39"/>
      <c r="O60" s="39"/>
      <c r="P60" s="63"/>
      <c r="Q60" s="63"/>
      <c r="R60" s="63"/>
      <c r="S60" s="63"/>
      <c r="T60" s="63"/>
      <c r="U60" s="63"/>
      <c r="V60" s="63"/>
      <c r="W60" s="63"/>
      <c r="X60" s="63"/>
      <c r="Y60" s="39"/>
      <c r="Z60" s="39"/>
      <c r="AA60" s="39"/>
      <c r="AB60" s="39"/>
      <c r="AC60" s="39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39"/>
      <c r="AO60" s="39"/>
      <c r="AP60" s="39"/>
      <c r="AQ60" s="39"/>
    </row>
    <row r="61" spans="2:43" ht="14.1" customHeight="1" x14ac:dyDescent="0.3">
      <c r="B61" s="148"/>
      <c r="C61" s="148"/>
      <c r="D61" s="148"/>
      <c r="E61" s="81"/>
      <c r="F61" s="63"/>
      <c r="G61" s="63"/>
      <c r="H61" s="39"/>
      <c r="I61" s="39"/>
      <c r="J61" s="39"/>
      <c r="K61" s="39"/>
      <c r="L61" s="39"/>
      <c r="M61" s="39"/>
      <c r="N61" s="39"/>
      <c r="O61" s="39"/>
      <c r="P61" s="63"/>
      <c r="Q61" s="63"/>
      <c r="R61" s="63"/>
      <c r="S61" s="63"/>
      <c r="T61" s="63"/>
      <c r="U61" s="63"/>
      <c r="V61" s="63"/>
      <c r="W61" s="63"/>
      <c r="X61" s="63"/>
      <c r="Y61" s="39"/>
      <c r="Z61" s="39"/>
      <c r="AA61" s="39"/>
      <c r="AB61" s="39"/>
      <c r="AC61" s="39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39"/>
      <c r="AO61" s="39"/>
      <c r="AP61" s="39"/>
      <c r="AQ61" s="39"/>
    </row>
    <row r="62" spans="2:43" ht="14.1" customHeight="1" x14ac:dyDescent="0.3">
      <c r="B62" s="148"/>
      <c r="C62" s="148"/>
      <c r="D62" s="148"/>
      <c r="E62" s="81"/>
      <c r="F62" s="63"/>
      <c r="G62" s="63"/>
      <c r="H62" s="39"/>
      <c r="I62" s="39"/>
      <c r="J62" s="39"/>
      <c r="K62" s="39"/>
      <c r="L62" s="39"/>
      <c r="M62" s="39"/>
      <c r="N62" s="39"/>
      <c r="O62" s="39"/>
      <c r="P62" s="63"/>
      <c r="Q62" s="63"/>
      <c r="R62" s="63"/>
      <c r="S62" s="63"/>
      <c r="T62" s="63"/>
      <c r="U62" s="63"/>
      <c r="V62" s="63"/>
      <c r="W62" s="63"/>
      <c r="X62" s="63"/>
      <c r="Y62" s="39"/>
      <c r="Z62" s="39"/>
      <c r="AA62" s="39"/>
      <c r="AB62" s="39"/>
      <c r="AC62" s="39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39"/>
      <c r="AO62" s="39"/>
      <c r="AP62" s="39"/>
      <c r="AQ62" s="39"/>
    </row>
    <row r="63" spans="2:43" ht="14.1" customHeight="1" x14ac:dyDescent="0.3">
      <c r="B63" s="148"/>
      <c r="C63" s="148"/>
      <c r="D63" s="148"/>
      <c r="E63" s="81"/>
      <c r="F63" s="63"/>
      <c r="G63" s="63"/>
      <c r="H63" s="39"/>
      <c r="I63" s="39"/>
      <c r="J63" s="39"/>
      <c r="K63" s="39"/>
      <c r="L63" s="39"/>
      <c r="M63" s="39"/>
      <c r="N63" s="39"/>
      <c r="O63" s="39"/>
      <c r="P63" s="63"/>
      <c r="Q63" s="63"/>
      <c r="R63" s="63"/>
      <c r="S63" s="63"/>
      <c r="T63" s="63"/>
      <c r="U63" s="63"/>
      <c r="V63" s="63"/>
      <c r="W63" s="63"/>
      <c r="X63" s="63"/>
      <c r="Y63" s="39"/>
      <c r="Z63" s="39"/>
      <c r="AA63" s="39"/>
      <c r="AB63" s="39"/>
      <c r="AC63" s="39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39"/>
      <c r="AO63" s="39"/>
      <c r="AP63" s="39"/>
      <c r="AQ63" s="39"/>
    </row>
    <row r="64" spans="2:43" ht="14.1" customHeight="1" x14ac:dyDescent="0.3">
      <c r="B64" s="148"/>
      <c r="C64" s="148"/>
      <c r="D64" s="148"/>
      <c r="E64" s="81"/>
      <c r="F64" s="63"/>
      <c r="G64" s="63"/>
      <c r="H64" s="39"/>
      <c r="I64" s="39"/>
      <c r="J64" s="39"/>
      <c r="K64" s="39"/>
      <c r="L64" s="39"/>
      <c r="M64" s="39"/>
      <c r="N64" s="39"/>
      <c r="O64" s="39"/>
      <c r="P64" s="63"/>
      <c r="Q64" s="63"/>
      <c r="R64" s="63"/>
      <c r="S64" s="63"/>
      <c r="T64" s="63"/>
      <c r="U64" s="63"/>
      <c r="V64" s="63"/>
      <c r="W64" s="63"/>
      <c r="X64" s="63"/>
      <c r="Y64" s="39"/>
      <c r="Z64" s="39"/>
      <c r="AA64" s="39"/>
      <c r="AB64" s="39"/>
      <c r="AC64" s="39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39"/>
      <c r="AO64" s="39"/>
      <c r="AP64" s="39"/>
      <c r="AQ64" s="39"/>
    </row>
    <row r="65" spans="2:43" ht="14.1" customHeight="1" x14ac:dyDescent="0.3">
      <c r="B65" s="148"/>
      <c r="C65" s="148"/>
      <c r="D65" s="148"/>
      <c r="E65" s="81"/>
      <c r="F65" s="63"/>
      <c r="G65" s="63"/>
      <c r="H65" s="39"/>
      <c r="I65" s="39"/>
      <c r="J65" s="39"/>
      <c r="K65" s="39"/>
      <c r="L65" s="39"/>
      <c r="M65" s="39"/>
      <c r="N65" s="39"/>
      <c r="O65" s="39"/>
      <c r="P65" s="63"/>
      <c r="Q65" s="63"/>
      <c r="R65" s="63"/>
      <c r="S65" s="63"/>
      <c r="T65" s="63"/>
      <c r="U65" s="63"/>
      <c r="V65" s="63"/>
      <c r="W65" s="63"/>
      <c r="X65" s="63"/>
      <c r="Y65" s="39"/>
      <c r="Z65" s="39"/>
      <c r="AA65" s="39"/>
      <c r="AB65" s="39"/>
      <c r="AC65" s="39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39"/>
      <c r="AO65" s="39"/>
      <c r="AP65" s="39"/>
      <c r="AQ65" s="39"/>
    </row>
    <row r="66" spans="2:43" ht="14.1" customHeight="1" x14ac:dyDescent="0.3">
      <c r="B66" s="148"/>
      <c r="C66" s="148"/>
      <c r="D66" s="148"/>
      <c r="E66" s="68"/>
      <c r="F66" s="63"/>
      <c r="G66" s="63"/>
      <c r="H66" s="39"/>
      <c r="I66" s="39"/>
      <c r="J66" s="39"/>
      <c r="K66" s="39"/>
      <c r="L66" s="39"/>
      <c r="M66" s="39"/>
      <c r="N66" s="39"/>
      <c r="O66" s="39"/>
      <c r="P66" s="63"/>
      <c r="Q66" s="63"/>
      <c r="R66" s="63"/>
      <c r="S66" s="63"/>
      <c r="T66" s="63"/>
      <c r="U66" s="63"/>
      <c r="V66" s="63"/>
      <c r="W66" s="63"/>
      <c r="X66" s="63"/>
      <c r="Y66" s="39"/>
      <c r="Z66" s="39"/>
      <c r="AA66" s="39"/>
      <c r="AB66" s="39"/>
      <c r="AC66" s="39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39"/>
      <c r="AO66" s="39"/>
      <c r="AP66" s="39"/>
      <c r="AQ66" s="39"/>
    </row>
    <row r="67" spans="2:43" ht="14.1" customHeight="1" x14ac:dyDescent="0.3">
      <c r="B67" s="148"/>
      <c r="C67" s="148"/>
      <c r="D67" s="148"/>
      <c r="E67" s="68"/>
      <c r="F67" s="63"/>
      <c r="G67" s="63"/>
      <c r="H67" s="39"/>
      <c r="I67" s="39"/>
      <c r="J67" s="39"/>
      <c r="K67" s="39"/>
      <c r="L67" s="39"/>
      <c r="M67" s="39"/>
      <c r="N67" s="39"/>
      <c r="O67" s="39"/>
      <c r="P67" s="63"/>
      <c r="Q67" s="63"/>
      <c r="R67" s="63"/>
      <c r="S67" s="63"/>
      <c r="T67" s="63"/>
      <c r="U67" s="63"/>
      <c r="V67" s="63"/>
      <c r="W67" s="63"/>
      <c r="X67" s="63"/>
      <c r="Y67" s="39"/>
      <c r="Z67" s="39"/>
      <c r="AA67" s="39"/>
      <c r="AB67" s="39"/>
      <c r="AC67" s="39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39"/>
      <c r="AO67" s="39"/>
      <c r="AP67" s="39"/>
      <c r="AQ67" s="39"/>
    </row>
    <row r="68" spans="2:43" ht="14.1" customHeight="1" x14ac:dyDescent="0.3">
      <c r="B68" s="148"/>
      <c r="C68" s="148"/>
      <c r="D68" s="148"/>
      <c r="E68" s="81"/>
      <c r="F68" s="63"/>
      <c r="G68" s="63"/>
      <c r="H68" s="39"/>
      <c r="I68" s="39"/>
      <c r="J68" s="39"/>
      <c r="K68" s="39"/>
      <c r="L68" s="39"/>
      <c r="M68" s="39"/>
      <c r="N68" s="39"/>
      <c r="O68" s="39"/>
      <c r="P68" s="63"/>
      <c r="Q68" s="63"/>
      <c r="R68" s="63"/>
      <c r="S68" s="63"/>
      <c r="T68" s="63"/>
      <c r="U68" s="63"/>
      <c r="V68" s="63"/>
      <c r="W68" s="63"/>
      <c r="X68" s="63"/>
      <c r="Y68" s="39"/>
      <c r="Z68" s="39"/>
      <c r="AA68" s="39"/>
      <c r="AB68" s="39"/>
      <c r="AC68" s="39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39"/>
      <c r="AO68" s="39"/>
      <c r="AP68" s="39"/>
      <c r="AQ68" s="39"/>
    </row>
    <row r="69" spans="2:43" ht="14.1" customHeight="1" x14ac:dyDescent="0.3">
      <c r="B69" s="148"/>
      <c r="C69" s="148"/>
      <c r="D69" s="148"/>
      <c r="E69" s="81"/>
      <c r="F69" s="63"/>
      <c r="G69" s="63"/>
      <c r="H69" s="39"/>
      <c r="I69" s="39"/>
      <c r="J69" s="39"/>
      <c r="K69" s="39"/>
      <c r="L69" s="39"/>
      <c r="M69" s="39"/>
      <c r="N69" s="39"/>
      <c r="O69" s="39"/>
      <c r="P69" s="63"/>
      <c r="Q69" s="63"/>
      <c r="R69" s="63"/>
      <c r="S69" s="63"/>
      <c r="T69" s="63"/>
      <c r="U69" s="63"/>
      <c r="V69" s="63"/>
      <c r="W69" s="63"/>
      <c r="X69" s="63"/>
      <c r="Y69" s="39"/>
      <c r="Z69" s="39"/>
      <c r="AA69" s="39"/>
      <c r="AB69" s="39"/>
      <c r="AC69" s="39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39"/>
      <c r="AO69" s="39"/>
      <c r="AP69" s="39"/>
      <c r="AQ69" s="39"/>
    </row>
    <row r="70" spans="2:43" ht="14.1" customHeight="1" x14ac:dyDescent="0.3">
      <c r="B70" s="148"/>
      <c r="C70" s="148"/>
      <c r="D70" s="148"/>
      <c r="E70" s="81"/>
      <c r="F70" s="63"/>
      <c r="G70" s="63"/>
      <c r="H70" s="39"/>
      <c r="I70" s="39"/>
      <c r="J70" s="39"/>
      <c r="K70" s="39"/>
      <c r="L70" s="39"/>
      <c r="M70" s="39"/>
      <c r="N70" s="39"/>
      <c r="O70" s="39"/>
      <c r="P70" s="63"/>
      <c r="Q70" s="63"/>
      <c r="R70" s="63"/>
      <c r="S70" s="63"/>
      <c r="T70" s="63"/>
      <c r="U70" s="63"/>
      <c r="V70" s="63"/>
      <c r="W70" s="63"/>
      <c r="X70" s="63"/>
      <c r="Y70" s="39"/>
      <c r="Z70" s="39"/>
      <c r="AA70" s="39"/>
      <c r="AB70" s="39"/>
      <c r="AC70" s="39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39"/>
      <c r="AO70" s="39"/>
      <c r="AP70" s="39"/>
      <c r="AQ70" s="39"/>
    </row>
    <row r="71" spans="2:43" ht="14.1" customHeight="1" x14ac:dyDescent="0.3">
      <c r="B71" s="148"/>
      <c r="C71" s="148"/>
      <c r="D71" s="148"/>
      <c r="E71" s="81"/>
      <c r="F71" s="63"/>
      <c r="G71" s="63"/>
      <c r="H71" s="39"/>
      <c r="I71" s="39"/>
      <c r="J71" s="39"/>
      <c r="K71" s="39"/>
      <c r="L71" s="39"/>
      <c r="M71" s="39"/>
      <c r="N71" s="39"/>
      <c r="O71" s="39"/>
      <c r="P71" s="63"/>
      <c r="Q71" s="63"/>
      <c r="R71" s="63"/>
      <c r="S71" s="63"/>
      <c r="T71" s="63"/>
      <c r="U71" s="63"/>
      <c r="V71" s="63"/>
      <c r="W71" s="63"/>
      <c r="X71" s="63"/>
      <c r="Y71" s="39"/>
      <c r="Z71" s="39"/>
      <c r="AA71" s="39"/>
      <c r="AB71" s="39"/>
      <c r="AC71" s="39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39"/>
      <c r="AO71" s="39"/>
      <c r="AP71" s="39"/>
      <c r="AQ71" s="39"/>
    </row>
    <row r="72" spans="2:43" ht="14.1" customHeight="1" x14ac:dyDescent="0.3">
      <c r="B72" s="148"/>
      <c r="C72" s="148"/>
      <c r="D72" s="148"/>
      <c r="E72" s="81"/>
      <c r="F72" s="63"/>
      <c r="G72" s="63"/>
      <c r="H72" s="39"/>
      <c r="I72" s="39"/>
      <c r="J72" s="39"/>
      <c r="K72" s="39"/>
      <c r="L72" s="39"/>
      <c r="M72" s="39"/>
      <c r="N72" s="39"/>
      <c r="O72" s="39"/>
      <c r="P72" s="63"/>
      <c r="Q72" s="63"/>
      <c r="R72" s="63"/>
      <c r="S72" s="63"/>
      <c r="T72" s="63"/>
      <c r="U72" s="63"/>
      <c r="V72" s="63"/>
      <c r="W72" s="63"/>
      <c r="X72" s="63"/>
      <c r="Y72" s="39"/>
      <c r="Z72" s="39"/>
      <c r="AA72" s="39"/>
      <c r="AB72" s="39"/>
      <c r="AC72" s="39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39"/>
      <c r="AO72" s="39"/>
      <c r="AP72" s="39"/>
      <c r="AQ72" s="39"/>
    </row>
    <row r="73" spans="2:43" ht="14.1" customHeight="1" x14ac:dyDescent="0.3">
      <c r="B73" s="148"/>
      <c r="C73" s="148"/>
      <c r="D73" s="148"/>
      <c r="E73" s="81"/>
      <c r="F73" s="63"/>
      <c r="G73" s="63"/>
      <c r="H73" s="39"/>
      <c r="I73" s="39"/>
      <c r="J73" s="39"/>
      <c r="K73" s="39"/>
      <c r="L73" s="39"/>
      <c r="M73" s="39"/>
      <c r="N73" s="39"/>
      <c r="O73" s="39"/>
      <c r="P73" s="63"/>
      <c r="Q73" s="63"/>
      <c r="R73" s="63"/>
      <c r="S73" s="63"/>
      <c r="T73" s="63"/>
      <c r="U73" s="63"/>
      <c r="V73" s="63"/>
      <c r="W73" s="63"/>
      <c r="X73" s="63"/>
      <c r="Y73" s="39"/>
      <c r="Z73" s="39"/>
      <c r="AA73" s="39"/>
      <c r="AB73" s="39"/>
      <c r="AC73" s="39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39"/>
      <c r="AO73" s="39"/>
      <c r="AP73" s="39"/>
      <c r="AQ73" s="39"/>
    </row>
    <row r="74" spans="2:43" ht="14.1" customHeight="1" x14ac:dyDescent="0.3">
      <c r="B74" s="148"/>
      <c r="C74" s="148"/>
      <c r="D74" s="148"/>
      <c r="E74" s="63"/>
      <c r="F74" s="63"/>
      <c r="G74" s="63"/>
      <c r="H74" s="39"/>
      <c r="I74" s="39"/>
      <c r="J74" s="39"/>
      <c r="K74" s="39"/>
      <c r="L74" s="39"/>
      <c r="M74" s="39"/>
      <c r="N74" s="39"/>
      <c r="O74" s="39"/>
      <c r="P74" s="63"/>
      <c r="Q74" s="63"/>
      <c r="R74" s="63"/>
      <c r="S74" s="63"/>
      <c r="T74" s="63"/>
      <c r="U74" s="63"/>
      <c r="V74" s="63"/>
      <c r="W74" s="63"/>
      <c r="X74" s="63"/>
      <c r="Y74" s="39"/>
      <c r="Z74" s="39"/>
      <c r="AA74" s="39"/>
      <c r="AB74" s="39"/>
      <c r="AC74" s="39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39"/>
      <c r="AO74" s="39"/>
      <c r="AP74" s="39"/>
      <c r="AQ74" s="39"/>
    </row>
    <row r="75" spans="2:43" ht="14.1" customHeight="1" x14ac:dyDescent="0.3">
      <c r="B75" s="150" t="s">
        <v>29</v>
      </c>
      <c r="C75" s="150"/>
      <c r="D75" s="150"/>
      <c r="E75" s="150"/>
      <c r="F75" s="150"/>
      <c r="G75" s="150"/>
      <c r="H75" s="54">
        <f t="shared" ref="H75:O75" si="2">SUM(H58:H74)</f>
        <v>0</v>
      </c>
      <c r="I75" s="54">
        <f t="shared" si="2"/>
        <v>0</v>
      </c>
      <c r="J75" s="54">
        <f t="shared" si="2"/>
        <v>0</v>
      </c>
      <c r="K75" s="54">
        <f t="shared" si="2"/>
        <v>0</v>
      </c>
      <c r="L75" s="54">
        <f t="shared" si="2"/>
        <v>0</v>
      </c>
      <c r="M75" s="54">
        <f t="shared" si="2"/>
        <v>0</v>
      </c>
      <c r="N75" s="54">
        <f t="shared" si="2"/>
        <v>0</v>
      </c>
      <c r="O75" s="54">
        <f t="shared" si="2"/>
        <v>0</v>
      </c>
      <c r="P75" s="54"/>
      <c r="Q75" s="54"/>
      <c r="R75" s="54">
        <f>SUM(R58:R74)</f>
        <v>0</v>
      </c>
      <c r="S75" s="54"/>
      <c r="T75" s="54"/>
      <c r="U75" s="54"/>
      <c r="V75" s="54">
        <f t="shared" ref="V75:AE75" si="3">SUM(V58:V74)</f>
        <v>0</v>
      </c>
      <c r="W75" s="10">
        <f t="shared" si="3"/>
        <v>0</v>
      </c>
      <c r="X75" s="10">
        <f t="shared" si="3"/>
        <v>0</v>
      </c>
      <c r="Y75" s="10">
        <f t="shared" si="3"/>
        <v>0</v>
      </c>
      <c r="Z75" s="10">
        <f t="shared" si="3"/>
        <v>0</v>
      </c>
      <c r="AA75" s="10">
        <f t="shared" si="3"/>
        <v>0</v>
      </c>
      <c r="AB75" s="10">
        <f t="shared" si="3"/>
        <v>0</v>
      </c>
      <c r="AC75" s="10">
        <f t="shared" si="3"/>
        <v>0</v>
      </c>
      <c r="AD75" s="10">
        <f t="shared" si="3"/>
        <v>0</v>
      </c>
      <c r="AE75" s="10">
        <f t="shared" si="3"/>
        <v>0</v>
      </c>
      <c r="AF75" s="10"/>
      <c r="AG75" s="10">
        <f>SUM(AG58:AG74)</f>
        <v>0</v>
      </c>
      <c r="AH75" s="10"/>
      <c r="AI75" s="10">
        <f>SUM(AI58:AI74)</f>
        <v>0</v>
      </c>
      <c r="AJ75" s="10"/>
      <c r="AK75" s="10">
        <f>SUM(AK58:AK74)</f>
        <v>0</v>
      </c>
      <c r="AL75" s="10"/>
      <c r="AM75" s="35">
        <f>SUM(AM58:AM74)</f>
        <v>0</v>
      </c>
      <c r="AN75" s="35">
        <f>SUM(AN58:AN74)</f>
        <v>0</v>
      </c>
      <c r="AO75" s="35">
        <f>SUM(AO58:AO74)</f>
        <v>0</v>
      </c>
      <c r="AP75" s="10"/>
      <c r="AQ75" s="10"/>
    </row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96">
    <mergeCell ref="B1:F1"/>
    <mergeCell ref="B3:D3"/>
    <mergeCell ref="F4:M4"/>
    <mergeCell ref="N4:O4"/>
    <mergeCell ref="P4:Q4"/>
    <mergeCell ref="R4:S4"/>
    <mergeCell ref="T4:U4"/>
    <mergeCell ref="B5:D6"/>
    <mergeCell ref="E5:E6"/>
    <mergeCell ref="F5:F6"/>
    <mergeCell ref="G5:M5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F24"/>
    <mergeCell ref="B27:D27"/>
    <mergeCell ref="N28:S28"/>
    <mergeCell ref="F29:M29"/>
    <mergeCell ref="N29:O29"/>
    <mergeCell ref="P29:Q29"/>
    <mergeCell ref="R29:S29"/>
    <mergeCell ref="B30:D31"/>
    <mergeCell ref="E30:E31"/>
    <mergeCell ref="F30:F31"/>
    <mergeCell ref="G30:M30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F49"/>
    <mergeCell ref="B52:D52"/>
    <mergeCell ref="F54:J54"/>
    <mergeCell ref="K54:O54"/>
    <mergeCell ref="P54:V54"/>
    <mergeCell ref="AL54:AQ54"/>
    <mergeCell ref="B55:D56"/>
    <mergeCell ref="E55:E56"/>
    <mergeCell ref="F55:F56"/>
    <mergeCell ref="G55:J55"/>
    <mergeCell ref="K55:O55"/>
    <mergeCell ref="P55:T55"/>
    <mergeCell ref="U55:V55"/>
    <mergeCell ref="AL55:AN55"/>
    <mergeCell ref="AO55:AQ55"/>
    <mergeCell ref="W56:AE56"/>
    <mergeCell ref="AF56:AG56"/>
    <mergeCell ref="AH56:AI56"/>
    <mergeCell ref="AJ56:AK56"/>
    <mergeCell ref="AN56:AN57"/>
    <mergeCell ref="AO56:AO57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5:G75"/>
    <mergeCell ref="B70:D70"/>
    <mergeCell ref="B71:D71"/>
    <mergeCell ref="B72:D72"/>
    <mergeCell ref="B73:D73"/>
    <mergeCell ref="B74:D74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J1048576"/>
  <sheetViews>
    <sheetView zoomScale="160" zoomScaleNormal="160" workbookViewId="0">
      <selection activeCell="B9" sqref="B9"/>
    </sheetView>
  </sheetViews>
  <sheetFormatPr defaultColWidth="7.6640625" defaultRowHeight="13.8" x14ac:dyDescent="0.3"/>
  <cols>
    <col min="1" max="16384" width="7.6640625" style="62"/>
  </cols>
  <sheetData>
    <row r="1" spans="2:36" ht="14.1" customHeight="1" x14ac:dyDescent="0.3">
      <c r="B1" s="146" t="str">
        <f>'Levantamento Campo'!B1</f>
        <v>Prj Estande de Tiro (50 m) – 5º BIL (Amv)</v>
      </c>
      <c r="C1" s="146"/>
      <c r="D1" s="146"/>
      <c r="E1" s="146"/>
      <c r="F1" s="146"/>
    </row>
    <row r="2" spans="2:36" ht="14.1" customHeight="1" x14ac:dyDescent="0.3">
      <c r="B2" s="44"/>
      <c r="C2" s="44"/>
      <c r="D2" s="44"/>
    </row>
    <row r="3" spans="2:36" ht="14.1" customHeight="1" x14ac:dyDescent="0.3">
      <c r="B3" s="44"/>
      <c r="C3" s="44"/>
      <c r="D3" s="44"/>
    </row>
    <row r="4" spans="2:36" ht="14.1" customHeight="1" x14ac:dyDescent="0.3">
      <c r="F4" s="116" t="s">
        <v>354</v>
      </c>
      <c r="G4" s="116"/>
      <c r="H4" s="117" t="s">
        <v>319</v>
      </c>
      <c r="I4" s="117"/>
      <c r="J4" s="117"/>
      <c r="K4" s="117"/>
      <c r="L4" s="117"/>
      <c r="M4" s="116" t="s">
        <v>24</v>
      </c>
      <c r="N4" s="116"/>
      <c r="O4" s="116"/>
      <c r="P4" s="116"/>
      <c r="Q4" s="116"/>
      <c r="R4" s="116"/>
      <c r="S4" s="116"/>
      <c r="AE4" s="116" t="s">
        <v>335</v>
      </c>
      <c r="AF4" s="116"/>
      <c r="AG4" s="116"/>
      <c r="AH4" s="116"/>
      <c r="AI4" s="116"/>
      <c r="AJ4" s="116"/>
    </row>
    <row r="5" spans="2:36" ht="14.1" customHeight="1" x14ac:dyDescent="0.3">
      <c r="B5" s="15"/>
      <c r="C5" s="15"/>
      <c r="D5" s="15"/>
      <c r="E5" s="116" t="s">
        <v>323</v>
      </c>
      <c r="F5" s="116" t="s">
        <v>11</v>
      </c>
      <c r="G5" s="116" t="s">
        <v>89</v>
      </c>
      <c r="H5" s="116" t="s">
        <v>42</v>
      </c>
      <c r="I5" s="161" t="s">
        <v>355</v>
      </c>
      <c r="J5" s="116" t="s">
        <v>356</v>
      </c>
      <c r="K5" s="116" t="s">
        <v>357</v>
      </c>
      <c r="L5" s="116" t="s">
        <v>358</v>
      </c>
      <c r="M5" s="116" t="s">
        <v>338</v>
      </c>
      <c r="N5" s="116"/>
      <c r="O5" s="116"/>
      <c r="P5" s="116" t="s">
        <v>359</v>
      </c>
      <c r="Q5" s="116"/>
      <c r="R5" s="116" t="s">
        <v>327</v>
      </c>
      <c r="S5" s="116"/>
      <c r="AE5" s="116" t="s">
        <v>339</v>
      </c>
      <c r="AF5" s="116"/>
      <c r="AG5" s="116"/>
      <c r="AH5" s="116" t="s">
        <v>340</v>
      </c>
      <c r="AI5" s="116"/>
      <c r="AJ5" s="116"/>
    </row>
    <row r="6" spans="2:36" ht="14.1" customHeight="1" x14ac:dyDescent="0.3">
      <c r="B6" s="116" t="s">
        <v>72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9" t="s">
        <v>7</v>
      </c>
      <c r="N6" s="9" t="s">
        <v>8</v>
      </c>
      <c r="O6" s="9" t="s">
        <v>6</v>
      </c>
      <c r="P6" s="9" t="s">
        <v>360</v>
      </c>
      <c r="Q6" s="9" t="s">
        <v>361</v>
      </c>
      <c r="R6" s="9" t="s">
        <v>332</v>
      </c>
      <c r="S6" s="9" t="s">
        <v>6</v>
      </c>
      <c r="T6" s="117" t="s">
        <v>20</v>
      </c>
      <c r="U6" s="117"/>
      <c r="V6" s="117"/>
      <c r="W6" s="117"/>
      <c r="X6" s="117"/>
      <c r="Y6" s="117"/>
      <c r="Z6" s="117"/>
      <c r="AA6" s="117"/>
      <c r="AB6" s="117"/>
      <c r="AC6" s="117" t="s">
        <v>21</v>
      </c>
      <c r="AD6" s="117"/>
      <c r="AE6" s="9" t="s">
        <v>332</v>
      </c>
      <c r="AF6" s="9" t="s">
        <v>6</v>
      </c>
      <c r="AG6" s="116" t="s">
        <v>89</v>
      </c>
      <c r="AH6" s="116" t="s">
        <v>89</v>
      </c>
      <c r="AI6" s="9" t="s">
        <v>332</v>
      </c>
      <c r="AJ6" s="9" t="s">
        <v>8</v>
      </c>
    </row>
    <row r="7" spans="2:36" ht="14.1" customHeight="1" x14ac:dyDescent="0.3">
      <c r="B7" s="116"/>
      <c r="C7" s="116"/>
      <c r="D7" s="116"/>
      <c r="E7" s="116"/>
      <c r="F7" s="116"/>
      <c r="G7" s="116"/>
      <c r="H7" s="18" t="s">
        <v>344</v>
      </c>
      <c r="I7" s="18" t="s">
        <v>344</v>
      </c>
      <c r="J7" s="18" t="s">
        <v>344</v>
      </c>
      <c r="K7" s="18" t="s">
        <v>344</v>
      </c>
      <c r="L7" s="18" t="s">
        <v>344</v>
      </c>
      <c r="M7" s="17" t="s">
        <v>220</v>
      </c>
      <c r="N7" s="17" t="s">
        <v>220</v>
      </c>
      <c r="O7" s="17" t="s">
        <v>13</v>
      </c>
      <c r="P7" s="17" t="s">
        <v>220</v>
      </c>
      <c r="Q7" s="17" t="s">
        <v>220</v>
      </c>
      <c r="R7" s="17" t="s">
        <v>298</v>
      </c>
      <c r="S7" s="17" t="s">
        <v>13</v>
      </c>
      <c r="T7" s="52" t="s">
        <v>345</v>
      </c>
      <c r="U7" s="52" t="s">
        <v>6</v>
      </c>
      <c r="V7" s="52" t="s">
        <v>346</v>
      </c>
      <c r="W7" s="52" t="s">
        <v>347</v>
      </c>
      <c r="X7" s="52" t="s">
        <v>348</v>
      </c>
      <c r="Y7" s="52" t="s">
        <v>349</v>
      </c>
      <c r="Z7" s="52" t="s">
        <v>350</v>
      </c>
      <c r="AA7" s="52" t="s">
        <v>351</v>
      </c>
      <c r="AB7" s="52" t="s">
        <v>352</v>
      </c>
      <c r="AC7" s="10" t="s">
        <v>362</v>
      </c>
      <c r="AD7" s="9" t="s">
        <v>363</v>
      </c>
      <c r="AE7" s="17" t="s">
        <v>353</v>
      </c>
      <c r="AF7" s="17" t="s">
        <v>13</v>
      </c>
      <c r="AG7" s="116"/>
      <c r="AH7" s="116"/>
      <c r="AI7" s="17" t="s">
        <v>353</v>
      </c>
      <c r="AJ7" s="17" t="s">
        <v>298</v>
      </c>
    </row>
    <row r="8" spans="2:36" ht="14.1" customHeight="1" x14ac:dyDescent="0.3">
      <c r="B8" s="148"/>
      <c r="C8" s="148"/>
      <c r="D8" s="148"/>
      <c r="E8" s="68"/>
      <c r="F8" s="63"/>
      <c r="G8" s="63"/>
      <c r="H8" s="39"/>
      <c r="I8" s="39"/>
      <c r="J8" s="39"/>
      <c r="K8" s="39"/>
      <c r="L8" s="39"/>
      <c r="M8" s="72"/>
      <c r="N8" s="72"/>
      <c r="O8" s="72"/>
      <c r="P8" s="17"/>
      <c r="Q8" s="17"/>
      <c r="R8" s="72"/>
      <c r="S8" s="72"/>
      <c r="T8" s="63"/>
      <c r="U8" s="63"/>
      <c r="V8" s="39"/>
      <c r="W8" s="39"/>
      <c r="X8" s="39"/>
      <c r="Y8" s="39"/>
      <c r="Z8" s="39"/>
      <c r="AA8" s="72"/>
      <c r="AB8" s="72"/>
      <c r="AC8" s="72"/>
      <c r="AD8" s="17"/>
      <c r="AE8" s="63"/>
      <c r="AF8" s="63"/>
      <c r="AG8" s="39"/>
      <c r="AH8" s="39"/>
      <c r="AI8" s="39"/>
      <c r="AJ8" s="39"/>
    </row>
    <row r="9" spans="2:36" ht="14.1" customHeight="1" x14ac:dyDescent="0.3">
      <c r="B9" s="148"/>
      <c r="C9" s="148"/>
      <c r="D9" s="148"/>
      <c r="E9" s="81"/>
      <c r="F9" s="63"/>
      <c r="G9" s="63"/>
      <c r="H9" s="39"/>
      <c r="I9" s="39"/>
      <c r="J9" s="39"/>
      <c r="K9" s="39"/>
      <c r="L9" s="39"/>
      <c r="M9" s="102"/>
      <c r="N9" s="84"/>
      <c r="O9" s="39"/>
      <c r="P9" s="102"/>
      <c r="Q9" s="102"/>
      <c r="R9" s="102"/>
      <c r="S9" s="102"/>
      <c r="T9" s="63"/>
      <c r="U9" s="63"/>
      <c r="V9" s="39"/>
      <c r="W9" s="39"/>
      <c r="X9" s="39"/>
      <c r="Y9" s="39"/>
      <c r="Z9" s="39"/>
      <c r="AA9" s="102"/>
      <c r="AB9" s="84"/>
      <c r="AC9" s="39"/>
      <c r="AD9" s="102"/>
      <c r="AE9" s="63"/>
      <c r="AF9" s="63"/>
      <c r="AG9" s="39"/>
      <c r="AH9" s="39"/>
      <c r="AI9" s="39"/>
      <c r="AJ9" s="39"/>
    </row>
    <row r="10" spans="2:36" ht="14.1" customHeight="1" x14ac:dyDescent="0.3">
      <c r="B10" s="148"/>
      <c r="C10" s="148"/>
      <c r="D10" s="148"/>
      <c r="E10" s="81"/>
      <c r="F10" s="63"/>
      <c r="G10" s="63"/>
      <c r="H10" s="39"/>
      <c r="I10" s="39"/>
      <c r="J10" s="39"/>
      <c r="K10" s="39"/>
      <c r="L10" s="39"/>
      <c r="M10" s="63"/>
      <c r="N10" s="63"/>
      <c r="O10" s="63"/>
      <c r="P10" s="63"/>
      <c r="Q10" s="63"/>
      <c r="R10" s="63"/>
      <c r="S10" s="63"/>
      <c r="T10" s="63"/>
      <c r="U10" s="63"/>
      <c r="V10" s="39"/>
      <c r="W10" s="39"/>
      <c r="X10" s="39"/>
      <c r="Y10" s="39"/>
      <c r="Z10" s="39"/>
      <c r="AA10" s="63"/>
      <c r="AB10" s="63"/>
      <c r="AC10" s="63"/>
      <c r="AD10" s="63"/>
      <c r="AE10" s="63"/>
      <c r="AF10" s="63"/>
      <c r="AG10" s="39"/>
      <c r="AH10" s="39"/>
      <c r="AI10" s="39"/>
      <c r="AJ10" s="39"/>
    </row>
    <row r="11" spans="2:36" ht="14.1" customHeight="1" x14ac:dyDescent="0.3">
      <c r="B11" s="148"/>
      <c r="C11" s="148"/>
      <c r="D11" s="148"/>
      <c r="E11" s="81"/>
      <c r="F11" s="63"/>
      <c r="G11" s="63"/>
      <c r="H11" s="39"/>
      <c r="I11" s="39"/>
      <c r="J11" s="39"/>
      <c r="K11" s="39"/>
      <c r="L11" s="39"/>
      <c r="M11" s="63"/>
      <c r="N11" s="63"/>
      <c r="O11" s="63"/>
      <c r="P11" s="63"/>
      <c r="Q11" s="63"/>
      <c r="R11" s="63"/>
      <c r="S11" s="63"/>
      <c r="T11" s="63"/>
      <c r="U11" s="63"/>
      <c r="V11" s="39"/>
      <c r="W11" s="39"/>
      <c r="X11" s="39"/>
      <c r="Y11" s="39"/>
      <c r="Z11" s="39"/>
      <c r="AA11" s="63"/>
      <c r="AB11" s="63"/>
      <c r="AC11" s="63"/>
      <c r="AD11" s="63"/>
      <c r="AE11" s="63"/>
      <c r="AF11" s="63"/>
      <c r="AG11" s="39"/>
      <c r="AH11" s="39"/>
      <c r="AI11" s="39"/>
      <c r="AJ11" s="39"/>
    </row>
    <row r="12" spans="2:36" ht="14.1" customHeight="1" x14ac:dyDescent="0.3">
      <c r="B12" s="148"/>
      <c r="C12" s="148"/>
      <c r="D12" s="148"/>
      <c r="E12" s="81"/>
      <c r="F12" s="63"/>
      <c r="G12" s="63"/>
      <c r="H12" s="39"/>
      <c r="I12" s="39"/>
      <c r="J12" s="39"/>
      <c r="K12" s="39"/>
      <c r="L12" s="39"/>
      <c r="M12" s="63"/>
      <c r="N12" s="63"/>
      <c r="O12" s="63"/>
      <c r="P12" s="63"/>
      <c r="Q12" s="63"/>
      <c r="R12" s="63"/>
      <c r="S12" s="63"/>
      <c r="T12" s="63"/>
      <c r="U12" s="63"/>
      <c r="V12" s="39"/>
      <c r="W12" s="39"/>
      <c r="X12" s="39"/>
      <c r="Y12" s="39"/>
      <c r="Z12" s="39"/>
      <c r="AA12" s="63"/>
      <c r="AB12" s="63"/>
      <c r="AC12" s="63"/>
      <c r="AD12" s="63"/>
      <c r="AE12" s="63"/>
      <c r="AF12" s="63"/>
      <c r="AG12" s="39"/>
      <c r="AH12" s="39"/>
      <c r="AI12" s="39"/>
      <c r="AJ12" s="39"/>
    </row>
    <row r="13" spans="2:36" ht="14.1" customHeight="1" x14ac:dyDescent="0.3">
      <c r="B13" s="148"/>
      <c r="C13" s="148"/>
      <c r="D13" s="148"/>
      <c r="E13" s="81"/>
      <c r="F13" s="63"/>
      <c r="G13" s="63"/>
      <c r="H13" s="39"/>
      <c r="I13" s="39"/>
      <c r="J13" s="39"/>
      <c r="K13" s="39"/>
      <c r="L13" s="39"/>
      <c r="M13" s="63"/>
      <c r="N13" s="63"/>
      <c r="O13" s="63"/>
      <c r="P13" s="63"/>
      <c r="Q13" s="63"/>
      <c r="R13" s="63"/>
      <c r="S13" s="63"/>
      <c r="T13" s="63"/>
      <c r="U13" s="63"/>
      <c r="V13" s="39"/>
      <c r="W13" s="39"/>
      <c r="X13" s="39"/>
      <c r="Y13" s="39"/>
      <c r="Z13" s="39"/>
      <c r="AA13" s="63"/>
      <c r="AB13" s="63"/>
      <c r="AC13" s="63"/>
      <c r="AD13" s="63"/>
      <c r="AE13" s="63"/>
      <c r="AF13" s="63"/>
      <c r="AG13" s="39"/>
      <c r="AH13" s="39"/>
      <c r="AI13" s="39"/>
      <c r="AJ13" s="39"/>
    </row>
    <row r="14" spans="2:36" ht="14.1" customHeight="1" x14ac:dyDescent="0.3">
      <c r="B14" s="148"/>
      <c r="C14" s="148"/>
      <c r="D14" s="148"/>
      <c r="E14" s="81"/>
      <c r="F14" s="63"/>
      <c r="G14" s="63"/>
      <c r="H14" s="39"/>
      <c r="I14" s="39"/>
      <c r="J14" s="39"/>
      <c r="K14" s="39"/>
      <c r="L14" s="39"/>
      <c r="M14" s="63"/>
      <c r="N14" s="63"/>
      <c r="O14" s="63"/>
      <c r="P14" s="63"/>
      <c r="Q14" s="63"/>
      <c r="R14" s="63"/>
      <c r="S14" s="63"/>
      <c r="T14" s="63"/>
      <c r="U14" s="63"/>
      <c r="V14" s="39"/>
      <c r="W14" s="39"/>
      <c r="X14" s="39"/>
      <c r="Y14" s="39"/>
      <c r="Z14" s="39"/>
      <c r="AA14" s="63"/>
      <c r="AB14" s="63"/>
      <c r="AC14" s="63"/>
      <c r="AD14" s="63"/>
      <c r="AE14" s="63"/>
      <c r="AF14" s="63"/>
      <c r="AG14" s="39"/>
      <c r="AH14" s="39"/>
      <c r="AI14" s="39"/>
      <c r="AJ14" s="39"/>
    </row>
    <row r="15" spans="2:36" ht="14.1" customHeight="1" x14ac:dyDescent="0.3">
      <c r="B15" s="148"/>
      <c r="C15" s="148"/>
      <c r="D15" s="148"/>
      <c r="E15" s="81"/>
      <c r="F15" s="63"/>
      <c r="G15" s="63"/>
      <c r="H15" s="39"/>
      <c r="I15" s="39"/>
      <c r="J15" s="39"/>
      <c r="K15" s="39"/>
      <c r="L15" s="39"/>
      <c r="M15" s="63"/>
      <c r="N15" s="63"/>
      <c r="O15" s="63"/>
      <c r="P15" s="63"/>
      <c r="Q15" s="63"/>
      <c r="R15" s="63"/>
      <c r="S15" s="63"/>
      <c r="T15" s="63"/>
      <c r="U15" s="63"/>
      <c r="V15" s="39"/>
      <c r="W15" s="39"/>
      <c r="X15" s="39"/>
      <c r="Y15" s="39"/>
      <c r="Z15" s="39"/>
      <c r="AA15" s="63"/>
      <c r="AB15" s="63"/>
      <c r="AC15" s="63"/>
      <c r="AD15" s="63"/>
      <c r="AE15" s="63"/>
      <c r="AF15" s="63"/>
      <c r="AG15" s="39"/>
      <c r="AH15" s="39"/>
      <c r="AI15" s="39"/>
      <c r="AJ15" s="39"/>
    </row>
    <row r="16" spans="2:36" ht="14.1" customHeight="1" x14ac:dyDescent="0.3">
      <c r="B16" s="148"/>
      <c r="C16" s="148"/>
      <c r="D16" s="148"/>
      <c r="E16" s="68"/>
      <c r="F16" s="63"/>
      <c r="G16" s="63"/>
      <c r="H16" s="39"/>
      <c r="I16" s="39"/>
      <c r="J16" s="39"/>
      <c r="K16" s="39"/>
      <c r="L16" s="39"/>
      <c r="M16" s="63"/>
      <c r="N16" s="63"/>
      <c r="O16" s="63"/>
      <c r="P16" s="63"/>
      <c r="Q16" s="63"/>
      <c r="R16" s="63"/>
      <c r="S16" s="63"/>
      <c r="T16" s="63"/>
      <c r="U16" s="63"/>
      <c r="V16" s="39"/>
      <c r="W16" s="39"/>
      <c r="X16" s="39"/>
      <c r="Y16" s="39"/>
      <c r="Z16" s="39"/>
      <c r="AA16" s="63"/>
      <c r="AB16" s="63"/>
      <c r="AC16" s="63"/>
      <c r="AD16" s="63"/>
      <c r="AE16" s="63"/>
      <c r="AF16" s="63"/>
      <c r="AG16" s="39"/>
      <c r="AH16" s="39"/>
      <c r="AI16" s="39"/>
      <c r="AJ16" s="39"/>
    </row>
    <row r="17" spans="2:36" ht="14.1" customHeight="1" x14ac:dyDescent="0.3">
      <c r="B17" s="148"/>
      <c r="C17" s="148"/>
      <c r="D17" s="148"/>
      <c r="E17" s="68"/>
      <c r="F17" s="63"/>
      <c r="G17" s="63"/>
      <c r="H17" s="39"/>
      <c r="I17" s="39"/>
      <c r="J17" s="39"/>
      <c r="K17" s="39"/>
      <c r="L17" s="39"/>
      <c r="M17" s="63"/>
      <c r="N17" s="63"/>
      <c r="O17" s="63"/>
      <c r="P17" s="63"/>
      <c r="Q17" s="63"/>
      <c r="R17" s="63"/>
      <c r="S17" s="63"/>
      <c r="T17" s="63"/>
      <c r="U17" s="63"/>
      <c r="V17" s="39"/>
      <c r="W17" s="39"/>
      <c r="X17" s="39"/>
      <c r="Y17" s="39"/>
      <c r="Z17" s="39"/>
      <c r="AA17" s="63"/>
      <c r="AB17" s="63"/>
      <c r="AC17" s="63"/>
      <c r="AD17" s="63"/>
      <c r="AE17" s="63"/>
      <c r="AF17" s="63"/>
      <c r="AG17" s="39"/>
      <c r="AH17" s="39"/>
      <c r="AI17" s="39"/>
      <c r="AJ17" s="39"/>
    </row>
    <row r="18" spans="2:36" ht="14.1" customHeight="1" x14ac:dyDescent="0.3">
      <c r="B18" s="148"/>
      <c r="C18" s="148"/>
      <c r="D18" s="148"/>
      <c r="E18" s="81"/>
      <c r="F18" s="63"/>
      <c r="G18" s="63"/>
      <c r="H18" s="39"/>
      <c r="I18" s="39"/>
      <c r="J18" s="39"/>
      <c r="K18" s="39"/>
      <c r="L18" s="39"/>
      <c r="M18" s="63"/>
      <c r="N18" s="63"/>
      <c r="O18" s="63"/>
      <c r="P18" s="63"/>
      <c r="Q18" s="63"/>
      <c r="R18" s="63"/>
      <c r="S18" s="63"/>
      <c r="T18" s="63"/>
      <c r="U18" s="63"/>
      <c r="V18" s="39"/>
      <c r="W18" s="39"/>
      <c r="X18" s="39"/>
      <c r="Y18" s="39"/>
      <c r="Z18" s="39"/>
      <c r="AA18" s="63"/>
      <c r="AB18" s="63"/>
      <c r="AC18" s="63"/>
      <c r="AD18" s="63"/>
      <c r="AE18" s="63"/>
      <c r="AF18" s="63"/>
      <c r="AG18" s="39"/>
      <c r="AH18" s="39"/>
      <c r="AI18" s="39"/>
      <c r="AJ18" s="39"/>
    </row>
    <row r="19" spans="2:36" ht="14.1" customHeight="1" x14ac:dyDescent="0.3">
      <c r="B19" s="148"/>
      <c r="C19" s="148"/>
      <c r="D19" s="148"/>
      <c r="E19" s="81"/>
      <c r="F19" s="63"/>
      <c r="G19" s="63"/>
      <c r="H19" s="39"/>
      <c r="I19" s="39"/>
      <c r="J19" s="39"/>
      <c r="K19" s="39"/>
      <c r="L19" s="39"/>
      <c r="M19" s="63"/>
      <c r="N19" s="63"/>
      <c r="O19" s="63"/>
      <c r="P19" s="63"/>
      <c r="Q19" s="63"/>
      <c r="R19" s="63"/>
      <c r="S19" s="63"/>
      <c r="T19" s="63"/>
      <c r="U19" s="63"/>
      <c r="V19" s="39"/>
      <c r="W19" s="39"/>
      <c r="X19" s="39"/>
      <c r="Y19" s="39"/>
      <c r="Z19" s="39"/>
      <c r="AA19" s="63"/>
      <c r="AB19" s="63"/>
      <c r="AC19" s="63"/>
      <c r="AD19" s="63"/>
      <c r="AE19" s="63"/>
      <c r="AF19" s="63"/>
      <c r="AG19" s="39"/>
      <c r="AH19" s="39"/>
      <c r="AI19" s="39"/>
      <c r="AJ19" s="39"/>
    </row>
    <row r="20" spans="2:36" ht="14.1" customHeight="1" x14ac:dyDescent="0.3">
      <c r="B20" s="148"/>
      <c r="C20" s="148"/>
      <c r="D20" s="148"/>
      <c r="E20" s="81"/>
      <c r="F20" s="63"/>
      <c r="G20" s="63"/>
      <c r="H20" s="39"/>
      <c r="I20" s="39"/>
      <c r="J20" s="39"/>
      <c r="K20" s="39"/>
      <c r="L20" s="39"/>
      <c r="M20" s="63"/>
      <c r="N20" s="63"/>
      <c r="O20" s="63"/>
      <c r="P20" s="63"/>
      <c r="Q20" s="63"/>
      <c r="R20" s="63"/>
      <c r="S20" s="63"/>
      <c r="T20" s="63"/>
      <c r="U20" s="63"/>
      <c r="V20" s="39"/>
      <c r="W20" s="39"/>
      <c r="X20" s="39"/>
      <c r="Y20" s="39"/>
      <c r="Z20" s="39"/>
      <c r="AA20" s="63"/>
      <c r="AB20" s="63"/>
      <c r="AC20" s="63"/>
      <c r="AD20" s="63"/>
      <c r="AE20" s="63"/>
      <c r="AF20" s="63"/>
      <c r="AG20" s="39"/>
      <c r="AH20" s="39"/>
      <c r="AI20" s="39"/>
      <c r="AJ20" s="39"/>
    </row>
    <row r="21" spans="2:36" ht="14.1" customHeight="1" x14ac:dyDescent="0.3">
      <c r="B21" s="148"/>
      <c r="C21" s="148"/>
      <c r="D21" s="148"/>
      <c r="E21" s="81"/>
      <c r="F21" s="63"/>
      <c r="G21" s="63"/>
      <c r="H21" s="39"/>
      <c r="I21" s="39"/>
      <c r="J21" s="39"/>
      <c r="K21" s="39"/>
      <c r="L21" s="39"/>
      <c r="M21" s="63"/>
      <c r="N21" s="63"/>
      <c r="O21" s="63"/>
      <c r="P21" s="63"/>
      <c r="Q21" s="63"/>
      <c r="R21" s="63"/>
      <c r="S21" s="63"/>
      <c r="T21" s="63"/>
      <c r="U21" s="63"/>
      <c r="V21" s="39"/>
      <c r="W21" s="39"/>
      <c r="X21" s="39"/>
      <c r="Y21" s="39"/>
      <c r="Z21" s="39"/>
      <c r="AA21" s="63"/>
      <c r="AB21" s="63"/>
      <c r="AC21" s="63"/>
      <c r="AD21" s="63"/>
      <c r="AE21" s="63"/>
      <c r="AF21" s="63"/>
      <c r="AG21" s="39"/>
      <c r="AH21" s="39"/>
      <c r="AI21" s="39"/>
      <c r="AJ21" s="39"/>
    </row>
    <row r="22" spans="2:36" ht="14.1" customHeight="1" x14ac:dyDescent="0.3">
      <c r="B22" s="148"/>
      <c r="C22" s="148"/>
      <c r="D22" s="148"/>
      <c r="E22" s="81"/>
      <c r="F22" s="63"/>
      <c r="G22" s="63"/>
      <c r="H22" s="39"/>
      <c r="I22" s="39"/>
      <c r="J22" s="39"/>
      <c r="K22" s="39"/>
      <c r="L22" s="39"/>
      <c r="M22" s="63"/>
      <c r="N22" s="63"/>
      <c r="O22" s="63"/>
      <c r="P22" s="63"/>
      <c r="Q22" s="63"/>
      <c r="R22" s="63"/>
      <c r="S22" s="63"/>
      <c r="T22" s="63"/>
      <c r="U22" s="63"/>
      <c r="V22" s="39"/>
      <c r="W22" s="39"/>
      <c r="X22" s="39"/>
      <c r="Y22" s="39"/>
      <c r="Z22" s="39"/>
      <c r="AA22" s="63"/>
      <c r="AB22" s="63"/>
      <c r="AC22" s="63"/>
      <c r="AD22" s="63"/>
      <c r="AE22" s="63"/>
      <c r="AF22" s="63"/>
      <c r="AG22" s="39"/>
      <c r="AH22" s="39"/>
      <c r="AI22" s="39"/>
      <c r="AJ22" s="39"/>
    </row>
    <row r="23" spans="2:36" ht="14.1" customHeight="1" x14ac:dyDescent="0.3">
      <c r="B23" s="148"/>
      <c r="C23" s="148"/>
      <c r="D23" s="148"/>
      <c r="E23" s="81"/>
      <c r="F23" s="63"/>
      <c r="G23" s="63"/>
      <c r="H23" s="39"/>
      <c r="I23" s="39"/>
      <c r="J23" s="39"/>
      <c r="K23" s="39"/>
      <c r="L23" s="39"/>
      <c r="M23" s="63"/>
      <c r="N23" s="63"/>
      <c r="O23" s="63"/>
      <c r="P23" s="63"/>
      <c r="Q23" s="63"/>
      <c r="R23" s="63"/>
      <c r="S23" s="63"/>
      <c r="T23" s="63"/>
      <c r="U23" s="63"/>
      <c r="V23" s="39"/>
      <c r="W23" s="39"/>
      <c r="X23" s="39"/>
      <c r="Y23" s="39"/>
      <c r="Z23" s="39"/>
      <c r="AA23" s="63"/>
      <c r="AB23" s="63"/>
      <c r="AC23" s="63"/>
      <c r="AD23" s="63"/>
      <c r="AE23" s="63"/>
      <c r="AF23" s="63"/>
      <c r="AG23" s="39"/>
      <c r="AH23" s="39"/>
      <c r="AI23" s="39"/>
      <c r="AJ23" s="39"/>
    </row>
    <row r="24" spans="2:36" ht="14.1" customHeight="1" x14ac:dyDescent="0.3">
      <c r="B24" s="148"/>
      <c r="C24" s="148"/>
      <c r="D24" s="148"/>
      <c r="E24" s="63"/>
      <c r="F24" s="63"/>
      <c r="G24" s="63"/>
      <c r="H24" s="39"/>
      <c r="I24" s="39"/>
      <c r="J24" s="39"/>
      <c r="K24" s="39"/>
      <c r="L24" s="39"/>
      <c r="M24" s="63"/>
      <c r="N24" s="63"/>
      <c r="O24" s="63"/>
      <c r="P24" s="63"/>
      <c r="Q24" s="63"/>
      <c r="R24" s="63"/>
      <c r="S24" s="63"/>
      <c r="T24" s="63"/>
      <c r="U24" s="63"/>
      <c r="V24" s="39"/>
      <c r="W24" s="39"/>
      <c r="X24" s="39"/>
      <c r="Y24" s="39"/>
      <c r="Z24" s="39"/>
      <c r="AA24" s="63"/>
      <c r="AB24" s="63"/>
      <c r="AC24" s="63"/>
      <c r="AD24" s="63"/>
      <c r="AE24" s="63"/>
      <c r="AF24" s="63"/>
      <c r="AG24" s="39"/>
      <c r="AH24" s="39"/>
      <c r="AI24" s="39"/>
      <c r="AJ24" s="39"/>
    </row>
    <row r="25" spans="2:36" ht="14.1" customHeight="1" x14ac:dyDescent="0.3">
      <c r="B25" s="150" t="s">
        <v>29</v>
      </c>
      <c r="C25" s="150"/>
      <c r="D25" s="150"/>
      <c r="E25" s="150"/>
      <c r="F25" s="150"/>
      <c r="G25" s="150"/>
      <c r="H25" s="54">
        <f>SUM(H8:H24)</f>
        <v>0</v>
      </c>
      <c r="I25" s="54">
        <f>SUM(I8:I24)</f>
        <v>0</v>
      </c>
      <c r="J25" s="54">
        <f>SUM(J8:J24)</f>
        <v>0</v>
      </c>
      <c r="K25" s="54">
        <f>SUM(K8:K24)</f>
        <v>0</v>
      </c>
      <c r="L25" s="54">
        <f>SUM(L8:L24)</f>
        <v>0</v>
      </c>
      <c r="M25" s="54"/>
      <c r="N25" s="54"/>
      <c r="O25" s="54">
        <f>SUM(O8:O24)</f>
        <v>0</v>
      </c>
      <c r="P25" s="54"/>
      <c r="Q25" s="54"/>
      <c r="R25" s="54"/>
      <c r="S25" s="54">
        <f t="shared" ref="S25:AB25" si="0">SUM(S8:S24)</f>
        <v>0</v>
      </c>
      <c r="T25" s="10">
        <f t="shared" si="0"/>
        <v>0</v>
      </c>
      <c r="U25" s="10">
        <f t="shared" si="0"/>
        <v>0</v>
      </c>
      <c r="V25" s="10">
        <f t="shared" si="0"/>
        <v>0</v>
      </c>
      <c r="W25" s="10">
        <f t="shared" si="0"/>
        <v>0</v>
      </c>
      <c r="X25" s="10">
        <f t="shared" si="0"/>
        <v>0</v>
      </c>
      <c r="Y25" s="10">
        <f t="shared" si="0"/>
        <v>0</v>
      </c>
      <c r="Z25" s="10">
        <f t="shared" si="0"/>
        <v>0</v>
      </c>
      <c r="AA25" s="10">
        <f t="shared" si="0"/>
        <v>0</v>
      </c>
      <c r="AB25" s="10">
        <f t="shared" si="0"/>
        <v>0</v>
      </c>
      <c r="AC25" s="10"/>
      <c r="AD25" s="10">
        <f>SUM(AD8:AD24)</f>
        <v>0</v>
      </c>
      <c r="AE25" s="10"/>
      <c r="AF25" s="35">
        <f>SUM(AF8:AF24)</f>
        <v>0</v>
      </c>
      <c r="AG25" s="35">
        <f>SUM(AG8:AG24)</f>
        <v>0</v>
      </c>
      <c r="AH25" s="35">
        <f>SUM(AH8:AH24)</f>
        <v>0</v>
      </c>
      <c r="AI25" s="10"/>
      <c r="AJ25" s="10"/>
    </row>
    <row r="44" spans="2:14" ht="14.1" customHeight="1" x14ac:dyDescent="0.3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60"/>
      <c r="N44" s="22"/>
    </row>
    <row r="45" spans="2:14" ht="14.1" customHeight="1" x14ac:dyDescent="0.3">
      <c r="B45" s="14"/>
      <c r="C45" s="15"/>
      <c r="D45" s="15"/>
      <c r="E45" s="14"/>
      <c r="F45" s="14"/>
      <c r="G45" s="14"/>
      <c r="H45" s="14"/>
      <c r="I45" s="15"/>
      <c r="J45" s="14"/>
      <c r="K45" s="14"/>
      <c r="L45" s="14"/>
      <c r="M45" s="160"/>
      <c r="N45" s="22"/>
    </row>
    <row r="46" spans="2:14" ht="14.1" customHeight="1" x14ac:dyDescent="0.3">
      <c r="B46" s="14"/>
      <c r="C46" s="21"/>
      <c r="D46" s="21"/>
      <c r="E46" s="14"/>
      <c r="F46" s="14"/>
      <c r="G46" s="14"/>
      <c r="H46" s="14"/>
      <c r="I46" s="21"/>
      <c r="J46" s="14"/>
      <c r="K46" s="15"/>
      <c r="L46" s="15"/>
      <c r="M46" s="15"/>
      <c r="N46" s="22"/>
    </row>
    <row r="47" spans="2:14" ht="14.1" customHeight="1" x14ac:dyDescent="0.3"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22"/>
    </row>
    <row r="48" spans="2:14" ht="14.1" customHeight="1" x14ac:dyDescent="0.3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22"/>
    </row>
    <row r="49" spans="2:14" ht="14.1" customHeight="1" x14ac:dyDescent="0.3"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22"/>
    </row>
    <row r="63" spans="2:14" ht="14.1" customHeight="1" x14ac:dyDescent="0.3">
      <c r="B63" s="14"/>
      <c r="C63" s="14"/>
      <c r="D63" s="14"/>
      <c r="E63" s="14"/>
      <c r="F63" s="14"/>
      <c r="G63" s="14"/>
      <c r="H63" s="14"/>
      <c r="I63" s="14"/>
    </row>
    <row r="64" spans="2:14" ht="14.1" customHeight="1" x14ac:dyDescent="0.3">
      <c r="B64" s="14"/>
      <c r="C64" s="14"/>
      <c r="D64" s="14"/>
      <c r="E64" s="14"/>
      <c r="F64" s="14"/>
      <c r="G64" s="14"/>
      <c r="H64" s="14"/>
      <c r="I64" s="14"/>
    </row>
    <row r="65" spans="2:11" ht="14.1" customHeight="1" x14ac:dyDescent="0.3">
      <c r="B65" s="14"/>
      <c r="C65" s="15"/>
      <c r="D65" s="15"/>
      <c r="E65" s="14"/>
      <c r="F65" s="14"/>
      <c r="G65" s="15"/>
      <c r="H65" s="15"/>
      <c r="I65" s="14"/>
    </row>
    <row r="66" spans="2:11" ht="14.1" customHeight="1" x14ac:dyDescent="0.3">
      <c r="B66" s="14"/>
      <c r="C66" s="21"/>
      <c r="D66" s="21"/>
      <c r="E66" s="14"/>
      <c r="F66" s="14"/>
      <c r="G66" s="21"/>
      <c r="H66" s="21"/>
      <c r="I66" s="14"/>
    </row>
    <row r="67" spans="2:11" ht="14.1" customHeight="1" x14ac:dyDescent="0.3">
      <c r="B67" s="96"/>
      <c r="C67" s="103"/>
      <c r="D67" s="42"/>
      <c r="E67" s="42"/>
      <c r="F67" s="42"/>
      <c r="G67" s="42"/>
      <c r="H67" s="42"/>
      <c r="I67" s="64"/>
    </row>
    <row r="68" spans="2:11" ht="14.1" customHeight="1" x14ac:dyDescent="0.3">
      <c r="B68" s="96"/>
      <c r="C68" s="42"/>
      <c r="D68" s="42"/>
      <c r="E68" s="42"/>
      <c r="F68" s="42"/>
      <c r="G68" s="42"/>
      <c r="H68" s="42"/>
      <c r="I68" s="64"/>
    </row>
    <row r="69" spans="2:11" ht="14.1" customHeight="1" x14ac:dyDescent="0.3">
      <c r="B69" s="96"/>
      <c r="C69" s="42"/>
      <c r="D69" s="42"/>
      <c r="E69" s="42"/>
      <c r="F69" s="42"/>
      <c r="G69" s="42"/>
      <c r="H69" s="42"/>
      <c r="I69" s="64"/>
    </row>
    <row r="70" spans="2:11" ht="14.1" customHeight="1" x14ac:dyDescent="0.3">
      <c r="B70" s="96"/>
      <c r="C70" s="42"/>
      <c r="D70" s="42"/>
      <c r="E70" s="42"/>
      <c r="F70" s="42"/>
      <c r="G70" s="42"/>
      <c r="H70" s="42"/>
      <c r="I70" s="64"/>
    </row>
    <row r="71" spans="2:11" ht="14.1" customHeight="1" x14ac:dyDescent="0.3">
      <c r="B71" s="96"/>
      <c r="C71" s="42"/>
      <c r="D71" s="42"/>
      <c r="E71" s="42"/>
      <c r="F71" s="42"/>
      <c r="G71" s="42"/>
      <c r="H71" s="42"/>
      <c r="I71" s="64"/>
    </row>
    <row r="72" spans="2:11" ht="14.1" customHeight="1" x14ac:dyDescent="0.3">
      <c r="B72" s="96"/>
      <c r="C72" s="42"/>
      <c r="D72" s="42"/>
      <c r="E72" s="42"/>
      <c r="F72" s="42"/>
      <c r="G72" s="42"/>
      <c r="H72" s="42"/>
      <c r="I72" s="64"/>
    </row>
    <row r="73" spans="2:11" ht="14.1" customHeight="1" x14ac:dyDescent="0.3">
      <c r="B73" s="96"/>
      <c r="C73" s="42"/>
      <c r="D73" s="42"/>
      <c r="E73" s="42"/>
      <c r="F73" s="42"/>
      <c r="G73" s="42"/>
      <c r="H73" s="42"/>
      <c r="I73" s="64"/>
    </row>
    <row r="74" spans="2:11" ht="14.1" customHeight="1" x14ac:dyDescent="0.3">
      <c r="B74" s="96"/>
      <c r="C74" s="42"/>
      <c r="D74" s="42"/>
      <c r="E74" s="42"/>
      <c r="F74" s="42"/>
      <c r="G74" s="42"/>
      <c r="H74" s="42"/>
      <c r="I74" s="64"/>
    </row>
    <row r="75" spans="2:11" ht="14.1" customHeight="1" x14ac:dyDescent="0.3">
      <c r="B75" s="96"/>
      <c r="C75" s="42"/>
      <c r="D75" s="42"/>
      <c r="E75" s="42"/>
      <c r="F75" s="42"/>
      <c r="G75" s="42"/>
      <c r="H75" s="42"/>
      <c r="I75" s="64"/>
    </row>
    <row r="76" spans="2:11" ht="14.1" customHeight="1" x14ac:dyDescent="0.3">
      <c r="B76" s="31"/>
      <c r="C76" s="21"/>
      <c r="D76" s="42"/>
      <c r="E76" s="42"/>
      <c r="F76" s="42"/>
      <c r="G76" s="21"/>
      <c r="H76" s="21"/>
      <c r="I76" s="21"/>
    </row>
    <row r="77" spans="2:11" ht="14.1" customHeight="1" x14ac:dyDescent="0.3"/>
    <row r="78" spans="2:11" ht="14.1" customHeight="1" x14ac:dyDescent="0.3"/>
    <row r="79" spans="2:11" ht="14.1" customHeight="1" x14ac:dyDescent="0.3"/>
    <row r="80" spans="2:11" ht="14.1" customHeight="1" x14ac:dyDescent="0.3">
      <c r="B80" s="14"/>
      <c r="C80" s="15"/>
      <c r="D80" s="15"/>
      <c r="E80" s="14"/>
      <c r="F80" s="14"/>
      <c r="G80" s="14"/>
      <c r="H80" s="14"/>
      <c r="I80" s="14"/>
      <c r="J80" s="14"/>
      <c r="K80" s="14"/>
    </row>
    <row r="81" spans="2:11" ht="14.1" customHeight="1" x14ac:dyDescent="0.3">
      <c r="B81" s="14"/>
      <c r="C81" s="21"/>
      <c r="D81" s="21"/>
      <c r="E81" s="15"/>
      <c r="F81" s="15"/>
      <c r="G81" s="15"/>
      <c r="H81" s="15"/>
      <c r="I81" s="104"/>
      <c r="J81" s="104"/>
      <c r="K81" s="104"/>
    </row>
    <row r="82" spans="2:11" ht="14.1" customHeight="1" x14ac:dyDescent="0.3">
      <c r="B82" s="96"/>
      <c r="C82" s="42"/>
      <c r="D82" s="42"/>
      <c r="E82" s="42"/>
      <c r="F82" s="42"/>
      <c r="G82" s="42"/>
      <c r="H82" s="42"/>
      <c r="I82" s="42"/>
      <c r="J82" s="42"/>
      <c r="K82" s="42"/>
    </row>
    <row r="83" spans="2:11" ht="14.1" customHeight="1" x14ac:dyDescent="0.3">
      <c r="B83" s="96"/>
      <c r="C83" s="42"/>
      <c r="D83" s="42"/>
      <c r="E83" s="42"/>
      <c r="F83" s="42"/>
      <c r="G83" s="42"/>
      <c r="H83" s="42"/>
      <c r="I83" s="42"/>
      <c r="J83" s="42"/>
      <c r="K83" s="42"/>
    </row>
    <row r="84" spans="2:11" ht="14.1" customHeight="1" x14ac:dyDescent="0.3">
      <c r="B84" s="96"/>
      <c r="C84" s="42"/>
      <c r="D84" s="42"/>
      <c r="E84" s="42"/>
      <c r="F84" s="42"/>
      <c r="G84" s="42"/>
      <c r="H84" s="42"/>
      <c r="I84" s="42"/>
      <c r="J84" s="42"/>
      <c r="K84" s="42"/>
    </row>
    <row r="85" spans="2:11" ht="14.1" customHeight="1" x14ac:dyDescent="0.3">
      <c r="B85" s="96"/>
      <c r="C85" s="42"/>
      <c r="D85" s="42"/>
      <c r="E85" s="42"/>
      <c r="F85" s="42"/>
      <c r="G85" s="42"/>
      <c r="H85" s="42"/>
      <c r="I85" s="42"/>
      <c r="J85" s="42"/>
      <c r="K85" s="42"/>
    </row>
    <row r="86" spans="2:11" ht="14.1" customHeight="1" x14ac:dyDescent="0.3"/>
    <row r="87" spans="2:11" ht="14.1" customHeight="1" x14ac:dyDescent="0.3"/>
    <row r="88" spans="2:11" ht="14.1" customHeight="1" x14ac:dyDescent="0.3"/>
    <row r="89" spans="2:11" ht="14.1" customHeight="1" x14ac:dyDescent="0.3"/>
    <row r="90" spans="2:11" ht="14.1" customHeight="1" x14ac:dyDescent="0.3"/>
    <row r="91" spans="2:11" ht="14.1" customHeight="1" x14ac:dyDescent="0.3"/>
    <row r="92" spans="2:11" ht="14.1" customHeight="1" x14ac:dyDescent="0.3"/>
    <row r="93" spans="2:11" ht="14.1" customHeight="1" x14ac:dyDescent="0.3"/>
    <row r="94" spans="2:11" ht="14.1" customHeight="1" x14ac:dyDescent="0.3"/>
    <row r="95" spans="2:11" ht="14.1" customHeight="1" x14ac:dyDescent="0.3"/>
    <row r="96" spans="2:11" ht="14.1" customHeight="1" x14ac:dyDescent="0.3"/>
    <row r="97" ht="14.1" customHeight="1" x14ac:dyDescent="0.3"/>
    <row r="98" ht="14.1" customHeight="1" x14ac:dyDescent="0.3"/>
    <row r="99" ht="14.1" customHeight="1" x14ac:dyDescent="0.3"/>
    <row r="100" ht="14.1" customHeight="1" x14ac:dyDescent="0.3"/>
    <row r="101" ht="14.1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42">
    <mergeCell ref="M4:S4"/>
    <mergeCell ref="AE4:AJ4"/>
    <mergeCell ref="H5:H6"/>
    <mergeCell ref="I5:I6"/>
    <mergeCell ref="B1:F1"/>
    <mergeCell ref="F4:G4"/>
    <mergeCell ref="H4:L4"/>
    <mergeCell ref="R5:S5"/>
    <mergeCell ref="AE5:AG5"/>
    <mergeCell ref="AH5:AJ5"/>
    <mergeCell ref="B6:D7"/>
    <mergeCell ref="T6:AB6"/>
    <mergeCell ref="AC6:AD6"/>
    <mergeCell ref="AG6:AG7"/>
    <mergeCell ref="AH6:AH7"/>
    <mergeCell ref="J5:J6"/>
    <mergeCell ref="K5:K6"/>
    <mergeCell ref="L5:L6"/>
    <mergeCell ref="M5:O5"/>
    <mergeCell ref="P5:Q5"/>
    <mergeCell ref="E5:E7"/>
    <mergeCell ref="F5:F7"/>
    <mergeCell ref="G5:G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3:D23"/>
    <mergeCell ref="B24:D24"/>
    <mergeCell ref="B25:G25"/>
    <mergeCell ref="M44:M45"/>
    <mergeCell ref="B18:D18"/>
    <mergeCell ref="B19:D19"/>
    <mergeCell ref="B20:D20"/>
    <mergeCell ref="B21:D21"/>
    <mergeCell ref="B22:D22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28"/>
  <sheetViews>
    <sheetView zoomScale="160" zoomScaleNormal="160" workbookViewId="0">
      <selection activeCell="E11" sqref="E11"/>
    </sheetView>
  </sheetViews>
  <sheetFormatPr defaultColWidth="7.6640625" defaultRowHeight="13.8" x14ac:dyDescent="0.3"/>
  <cols>
    <col min="1" max="16384" width="7.6640625" style="62"/>
  </cols>
  <sheetData>
    <row r="1" spans="2:14" ht="14.1" customHeight="1" x14ac:dyDescent="0.3">
      <c r="B1" s="128" t="str">
        <f>'Levantamento Campo'!B1</f>
        <v>Prj Estande de Tiro (50 m) – 5º BIL (Amv)</v>
      </c>
      <c r="C1" s="128"/>
      <c r="D1" s="128"/>
      <c r="E1" s="128"/>
      <c r="F1" s="128"/>
    </row>
    <row r="4" spans="2:14" ht="14.1" customHeight="1" x14ac:dyDescent="0.3">
      <c r="B4" s="15"/>
      <c r="C4" s="15"/>
      <c r="D4" s="15"/>
      <c r="E4" s="162" t="s">
        <v>364</v>
      </c>
      <c r="F4" s="162"/>
      <c r="G4" s="162"/>
      <c r="H4" s="162"/>
      <c r="I4" s="162"/>
      <c r="J4" s="162"/>
      <c r="K4" s="117" t="s">
        <v>365</v>
      </c>
      <c r="L4" s="117"/>
      <c r="M4" s="117" t="s">
        <v>366</v>
      </c>
      <c r="N4" s="117"/>
    </row>
    <row r="5" spans="2:14" ht="14.1" customHeight="1" x14ac:dyDescent="0.3">
      <c r="B5" s="15"/>
      <c r="C5" s="15"/>
      <c r="D5" s="15"/>
      <c r="E5" s="162" t="s">
        <v>89</v>
      </c>
      <c r="F5" s="117" t="s">
        <v>367</v>
      </c>
      <c r="G5" s="116" t="s">
        <v>368</v>
      </c>
      <c r="H5" s="116"/>
      <c r="I5" s="116"/>
      <c r="J5" s="116"/>
      <c r="K5" s="117" t="s">
        <v>89</v>
      </c>
      <c r="L5" s="117" t="s">
        <v>11</v>
      </c>
      <c r="M5" s="117" t="s">
        <v>89</v>
      </c>
      <c r="N5" s="117" t="s">
        <v>11</v>
      </c>
    </row>
    <row r="6" spans="2:14" ht="14.1" customHeight="1" x14ac:dyDescent="0.3">
      <c r="B6" s="15"/>
      <c r="C6" s="15"/>
      <c r="D6" s="15"/>
      <c r="E6" s="162"/>
      <c r="F6" s="117"/>
      <c r="G6" s="116" t="s">
        <v>24</v>
      </c>
      <c r="H6" s="116"/>
      <c r="I6" s="116" t="s">
        <v>369</v>
      </c>
      <c r="J6" s="116" t="s">
        <v>370</v>
      </c>
      <c r="K6" s="117"/>
      <c r="L6" s="117"/>
      <c r="M6" s="117"/>
      <c r="N6" s="117"/>
    </row>
    <row r="7" spans="2:14" ht="14.1" customHeight="1" x14ac:dyDescent="0.3">
      <c r="B7" s="116" t="s">
        <v>5</v>
      </c>
      <c r="C7" s="116"/>
      <c r="D7" s="116"/>
      <c r="E7" s="162"/>
      <c r="F7" s="117"/>
      <c r="G7" s="52" t="s">
        <v>371</v>
      </c>
      <c r="H7" s="52" t="s">
        <v>372</v>
      </c>
      <c r="I7" s="116"/>
      <c r="J7" s="116"/>
      <c r="K7" s="117"/>
      <c r="L7" s="117"/>
      <c r="M7" s="117"/>
      <c r="N7" s="117"/>
    </row>
    <row r="8" spans="2:14" ht="14.1" customHeight="1" x14ac:dyDescent="0.3">
      <c r="B8" s="116"/>
      <c r="C8" s="116"/>
      <c r="D8" s="116"/>
      <c r="E8" s="162"/>
      <c r="F8" s="17" t="s">
        <v>373</v>
      </c>
      <c r="G8" s="17" t="s">
        <v>13</v>
      </c>
      <c r="H8" s="17" t="s">
        <v>13</v>
      </c>
      <c r="I8" s="17" t="s">
        <v>146</v>
      </c>
      <c r="J8" s="17" t="s">
        <v>13</v>
      </c>
      <c r="K8" s="117"/>
      <c r="L8" s="117"/>
      <c r="M8" s="117"/>
      <c r="N8" s="117"/>
    </row>
    <row r="9" spans="2:14" ht="14.1" customHeight="1" x14ac:dyDescent="0.3">
      <c r="B9" s="149"/>
      <c r="C9" s="149"/>
      <c r="D9" s="149"/>
      <c r="E9" s="63"/>
      <c r="F9" s="63"/>
      <c r="G9" s="63"/>
      <c r="H9" s="63"/>
      <c r="I9" s="63"/>
      <c r="J9" s="63"/>
      <c r="K9" s="63"/>
      <c r="L9" s="63"/>
      <c r="M9" s="63"/>
      <c r="N9" s="63"/>
    </row>
    <row r="10" spans="2:14" ht="14.1" customHeight="1" x14ac:dyDescent="0.3">
      <c r="B10" s="149"/>
      <c r="C10" s="149"/>
      <c r="D10" s="149"/>
      <c r="E10" s="63"/>
      <c r="F10" s="63"/>
      <c r="G10" s="63"/>
      <c r="H10" s="63"/>
      <c r="I10" s="63"/>
      <c r="J10" s="63"/>
      <c r="K10" s="63"/>
      <c r="L10" s="63"/>
      <c r="M10" s="63"/>
      <c r="N10" s="63"/>
    </row>
    <row r="11" spans="2:14" ht="14.1" customHeight="1" x14ac:dyDescent="0.3">
      <c r="B11" s="149"/>
      <c r="C11" s="149"/>
      <c r="D11" s="149"/>
      <c r="E11" s="63"/>
      <c r="F11" s="63"/>
      <c r="G11" s="63"/>
      <c r="H11" s="63"/>
      <c r="I11" s="63"/>
      <c r="J11" s="63"/>
      <c r="K11" s="63"/>
      <c r="L11" s="63"/>
      <c r="M11" s="63"/>
      <c r="N11" s="63"/>
    </row>
    <row r="12" spans="2:14" ht="14.1" customHeight="1" x14ac:dyDescent="0.3">
      <c r="B12" s="149"/>
      <c r="C12" s="149"/>
      <c r="D12" s="149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2:14" ht="14.1" customHeight="1" x14ac:dyDescent="0.3">
      <c r="B13" s="149"/>
      <c r="C13" s="149"/>
      <c r="D13" s="149"/>
      <c r="E13" s="63"/>
      <c r="F13" s="63"/>
      <c r="G13" s="63"/>
      <c r="H13" s="63"/>
      <c r="I13" s="63"/>
      <c r="J13" s="63"/>
      <c r="K13" s="63"/>
      <c r="L13" s="63"/>
      <c r="M13" s="63"/>
      <c r="N13" s="63"/>
    </row>
    <row r="14" spans="2:14" ht="14.1" customHeight="1" x14ac:dyDescent="0.3">
      <c r="B14" s="149"/>
      <c r="C14" s="149"/>
      <c r="D14" s="149"/>
      <c r="E14" s="63"/>
      <c r="F14" s="63"/>
      <c r="G14" s="63"/>
      <c r="H14" s="63"/>
      <c r="I14" s="63"/>
      <c r="J14" s="63"/>
      <c r="K14" s="63"/>
      <c r="L14" s="63"/>
      <c r="M14" s="63"/>
      <c r="N14" s="63"/>
    </row>
    <row r="15" spans="2:14" ht="14.1" customHeight="1" x14ac:dyDescent="0.3">
      <c r="B15" s="149"/>
      <c r="C15" s="149"/>
      <c r="D15" s="149"/>
      <c r="E15" s="63"/>
      <c r="F15" s="63"/>
      <c r="G15" s="63"/>
      <c r="H15" s="63"/>
      <c r="I15" s="63"/>
      <c r="J15" s="63"/>
      <c r="K15" s="63"/>
      <c r="L15" s="63"/>
      <c r="M15" s="63"/>
      <c r="N15" s="63"/>
    </row>
    <row r="16" spans="2:14" ht="14.1" customHeight="1" x14ac:dyDescent="0.3">
      <c r="B16" s="149"/>
      <c r="C16" s="149"/>
      <c r="D16" s="149"/>
      <c r="E16" s="63"/>
      <c r="F16" s="63"/>
      <c r="G16" s="63"/>
      <c r="H16" s="63"/>
      <c r="I16" s="63"/>
      <c r="J16" s="63"/>
      <c r="K16" s="63"/>
      <c r="L16" s="63"/>
      <c r="M16" s="63"/>
      <c r="N16" s="63"/>
    </row>
    <row r="17" spans="2:14" ht="14.1" customHeight="1" x14ac:dyDescent="0.3">
      <c r="B17" s="149"/>
      <c r="C17" s="149"/>
      <c r="D17" s="149"/>
      <c r="E17" s="63"/>
      <c r="F17" s="63"/>
      <c r="G17" s="63"/>
      <c r="H17" s="63"/>
      <c r="I17" s="63"/>
      <c r="J17" s="63"/>
      <c r="K17" s="63"/>
      <c r="L17" s="63"/>
      <c r="M17" s="63"/>
      <c r="N17" s="63"/>
    </row>
    <row r="18" spans="2:14" ht="14.1" customHeight="1" x14ac:dyDescent="0.3">
      <c r="B18" s="149"/>
      <c r="C18" s="149"/>
      <c r="D18" s="149"/>
      <c r="E18" s="63"/>
      <c r="F18" s="63"/>
      <c r="G18" s="63"/>
      <c r="H18" s="63"/>
      <c r="I18" s="63"/>
      <c r="J18" s="63"/>
      <c r="K18" s="63"/>
      <c r="L18" s="63"/>
      <c r="M18" s="63"/>
      <c r="N18" s="63"/>
    </row>
    <row r="19" spans="2:14" ht="14.1" customHeight="1" x14ac:dyDescent="0.3">
      <c r="B19" s="149"/>
      <c r="C19" s="149"/>
      <c r="D19" s="149"/>
      <c r="E19" s="63"/>
      <c r="F19" s="63"/>
      <c r="G19" s="63"/>
      <c r="H19" s="63"/>
      <c r="I19" s="63"/>
      <c r="J19" s="63"/>
      <c r="K19" s="63"/>
      <c r="L19" s="63"/>
      <c r="M19" s="63"/>
      <c r="N19" s="63"/>
    </row>
    <row r="20" spans="2:14" ht="14.1" customHeight="1" x14ac:dyDescent="0.3">
      <c r="B20" s="149"/>
      <c r="C20" s="149"/>
      <c r="D20" s="149"/>
      <c r="E20" s="63"/>
      <c r="F20" s="63"/>
      <c r="G20" s="63"/>
      <c r="H20" s="63"/>
      <c r="I20" s="63"/>
      <c r="J20" s="63"/>
      <c r="K20" s="63"/>
      <c r="L20" s="63"/>
      <c r="M20" s="63"/>
      <c r="N20" s="63"/>
    </row>
    <row r="21" spans="2:14" ht="14.1" customHeight="1" x14ac:dyDescent="0.3">
      <c r="B21" s="149"/>
      <c r="C21" s="149"/>
      <c r="D21" s="149"/>
      <c r="E21" s="63"/>
      <c r="F21" s="63"/>
      <c r="G21" s="63"/>
      <c r="H21" s="63"/>
      <c r="I21" s="63"/>
      <c r="J21" s="63"/>
      <c r="K21" s="63"/>
      <c r="L21" s="63"/>
      <c r="M21" s="63"/>
      <c r="N21" s="63"/>
    </row>
    <row r="22" spans="2:14" ht="14.1" customHeight="1" x14ac:dyDescent="0.3">
      <c r="B22" s="149"/>
      <c r="C22" s="149"/>
      <c r="D22" s="149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2:14" ht="14.1" customHeight="1" x14ac:dyDescent="0.3">
      <c r="B23" s="149"/>
      <c r="C23" s="149"/>
      <c r="D23" s="149"/>
      <c r="E23" s="63"/>
      <c r="F23" s="63"/>
      <c r="G23" s="63"/>
      <c r="H23" s="63"/>
      <c r="I23" s="63"/>
      <c r="J23" s="63"/>
      <c r="K23" s="63"/>
      <c r="L23" s="63"/>
      <c r="M23" s="63"/>
      <c r="N23" s="63"/>
    </row>
    <row r="24" spans="2:14" ht="14.1" customHeight="1" x14ac:dyDescent="0.3">
      <c r="B24" s="149"/>
      <c r="C24" s="149"/>
      <c r="D24" s="149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pans="2:14" ht="14.1" customHeight="1" x14ac:dyDescent="0.3">
      <c r="B25" s="149"/>
      <c r="C25" s="149"/>
      <c r="D25" s="149"/>
      <c r="E25" s="63"/>
      <c r="F25" s="63"/>
      <c r="G25" s="63"/>
      <c r="H25" s="63"/>
      <c r="I25" s="63"/>
      <c r="J25" s="63"/>
      <c r="K25" s="63"/>
      <c r="L25" s="63"/>
      <c r="M25" s="63"/>
      <c r="N25" s="63"/>
    </row>
    <row r="26" spans="2:14" ht="14.1" customHeight="1" x14ac:dyDescent="0.3">
      <c r="B26" s="149"/>
      <c r="C26" s="149"/>
      <c r="D26" s="149"/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2:14" ht="14.1" customHeight="1" x14ac:dyDescent="0.3">
      <c r="B27" s="149"/>
      <c r="C27" s="149"/>
      <c r="D27" s="149"/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2:14" ht="14.1" customHeight="1" x14ac:dyDescent="0.3">
      <c r="B28" s="150" t="s">
        <v>29</v>
      </c>
      <c r="C28" s="150"/>
      <c r="D28" s="150"/>
      <c r="E28" s="10">
        <f>SUM(E9:E27)</f>
        <v>0</v>
      </c>
      <c r="F28" s="10"/>
      <c r="G28" s="35">
        <f>SUM(G9:G27)</f>
        <v>0</v>
      </c>
      <c r="H28" s="35">
        <f>SUM(H9:H27)</f>
        <v>0</v>
      </c>
      <c r="I28" s="35">
        <f>SUM(I9:I27)</f>
        <v>0</v>
      </c>
      <c r="J28" s="35">
        <f>SUM(J9:J27)</f>
        <v>0</v>
      </c>
      <c r="K28" s="105">
        <f>SUM(K9:K27)</f>
        <v>0</v>
      </c>
      <c r="L28" s="10"/>
      <c r="M28" s="10">
        <f>SUM(M9:M27)</f>
        <v>0</v>
      </c>
      <c r="N28" s="10"/>
    </row>
  </sheetData>
  <mergeCells count="35">
    <mergeCell ref="B1:F1"/>
    <mergeCell ref="E4:J4"/>
    <mergeCell ref="K4:L4"/>
    <mergeCell ref="M4:N4"/>
    <mergeCell ref="E5:E8"/>
    <mergeCell ref="F5:F7"/>
    <mergeCell ref="G5:J5"/>
    <mergeCell ref="K5:K8"/>
    <mergeCell ref="L5:L8"/>
    <mergeCell ref="M5:M8"/>
    <mergeCell ref="N5:N8"/>
    <mergeCell ref="G6:H6"/>
    <mergeCell ref="I6:I7"/>
    <mergeCell ref="J6:J7"/>
    <mergeCell ref="B7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D1048576"/>
  <sheetViews>
    <sheetView zoomScale="160" zoomScaleNormal="160" workbookViewId="0">
      <selection activeCell="A20" sqref="A20"/>
    </sheetView>
  </sheetViews>
  <sheetFormatPr defaultColWidth="7.6640625" defaultRowHeight="13.8" x14ac:dyDescent="0.3"/>
  <cols>
    <col min="1" max="16384" width="7.6640625" style="62"/>
  </cols>
  <sheetData>
    <row r="1" spans="2:30" ht="14.1" customHeight="1" x14ac:dyDescent="0.3">
      <c r="B1" s="128" t="str">
        <f>'Levantamento Campo'!B1</f>
        <v>Prj Estande de Tiro (50 m) – 5º BIL (Amv)</v>
      </c>
      <c r="C1" s="128"/>
      <c r="D1" s="128"/>
      <c r="E1" s="128"/>
      <c r="F1" s="128"/>
    </row>
    <row r="4" spans="2:30" ht="14.1" customHeight="1" x14ac:dyDescent="0.3">
      <c r="B4" s="116" t="s">
        <v>323</v>
      </c>
      <c r="C4" s="116"/>
      <c r="D4" s="116"/>
      <c r="E4" s="117" t="s">
        <v>374</v>
      </c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 t="s">
        <v>375</v>
      </c>
      <c r="V4" s="117"/>
      <c r="W4" s="117"/>
      <c r="X4" s="117"/>
      <c r="Y4" s="117"/>
      <c r="Z4" s="117"/>
      <c r="AA4" s="117"/>
      <c r="AB4" s="117"/>
      <c r="AC4" s="117"/>
      <c r="AD4" s="117"/>
    </row>
    <row r="5" spans="2:30" ht="14.1" customHeight="1" x14ac:dyDescent="0.3">
      <c r="B5" s="116"/>
      <c r="C5" s="116"/>
      <c r="D5" s="116"/>
      <c r="E5" s="117" t="s">
        <v>24</v>
      </c>
      <c r="F5" s="117"/>
      <c r="G5" s="117"/>
      <c r="H5" s="117" t="s">
        <v>376</v>
      </c>
      <c r="I5" s="117"/>
      <c r="J5" s="117"/>
      <c r="K5" s="117"/>
      <c r="L5" s="117"/>
      <c r="M5" s="117" t="s">
        <v>36</v>
      </c>
      <c r="N5" s="117"/>
      <c r="O5" s="117"/>
      <c r="P5" s="117" t="s">
        <v>35</v>
      </c>
      <c r="Q5" s="117"/>
      <c r="R5" s="117"/>
      <c r="S5" s="117" t="s">
        <v>377</v>
      </c>
      <c r="T5" s="117"/>
      <c r="U5" s="117" t="s">
        <v>11</v>
      </c>
      <c r="V5" s="116" t="s">
        <v>378</v>
      </c>
      <c r="W5" s="116"/>
      <c r="X5" s="9" t="s">
        <v>379</v>
      </c>
      <c r="Y5" s="116" t="s">
        <v>380</v>
      </c>
      <c r="Z5" s="116"/>
      <c r="AA5" s="116" t="s">
        <v>381</v>
      </c>
      <c r="AB5" s="116"/>
      <c r="AC5" s="116" t="s">
        <v>382</v>
      </c>
      <c r="AD5" s="116"/>
    </row>
    <row r="6" spans="2:30" ht="14.1" customHeight="1" x14ac:dyDescent="0.3">
      <c r="B6" s="116"/>
      <c r="C6" s="116"/>
      <c r="D6" s="116"/>
      <c r="E6" s="9" t="s">
        <v>332</v>
      </c>
      <c r="F6" s="9" t="s">
        <v>8</v>
      </c>
      <c r="G6" s="9" t="s">
        <v>6</v>
      </c>
      <c r="H6" s="9" t="s">
        <v>332</v>
      </c>
      <c r="I6" s="116" t="s">
        <v>89</v>
      </c>
      <c r="J6" s="116" t="s">
        <v>11</v>
      </c>
      <c r="K6" s="116" t="s">
        <v>383</v>
      </c>
      <c r="L6" s="116"/>
      <c r="M6" s="9" t="s">
        <v>332</v>
      </c>
      <c r="N6" s="116" t="s">
        <v>89</v>
      </c>
      <c r="O6" s="116" t="s">
        <v>11</v>
      </c>
      <c r="P6" s="9" t="s">
        <v>332</v>
      </c>
      <c r="Q6" s="116" t="s">
        <v>89</v>
      </c>
      <c r="R6" s="116" t="s">
        <v>11</v>
      </c>
      <c r="S6" s="116" t="s">
        <v>89</v>
      </c>
      <c r="T6" s="116" t="s">
        <v>11</v>
      </c>
      <c r="U6" s="117"/>
      <c r="V6" s="9" t="s">
        <v>384</v>
      </c>
      <c r="W6" s="9" t="s">
        <v>385</v>
      </c>
      <c r="X6" s="9" t="s">
        <v>384</v>
      </c>
      <c r="Y6" s="10" t="s">
        <v>386</v>
      </c>
      <c r="Z6" s="10" t="s">
        <v>387</v>
      </c>
      <c r="AA6" s="10" t="s">
        <v>386</v>
      </c>
      <c r="AB6" s="10" t="s">
        <v>387</v>
      </c>
      <c r="AC6" s="9" t="s">
        <v>385</v>
      </c>
      <c r="AD6" s="10" t="s">
        <v>387</v>
      </c>
    </row>
    <row r="7" spans="2:30" ht="14.1" customHeight="1" x14ac:dyDescent="0.3">
      <c r="B7" s="116"/>
      <c r="C7" s="116"/>
      <c r="D7" s="116"/>
      <c r="E7" s="17" t="s">
        <v>298</v>
      </c>
      <c r="F7" s="17" t="s">
        <v>220</v>
      </c>
      <c r="G7" s="17" t="s">
        <v>13</v>
      </c>
      <c r="H7" s="17" t="s">
        <v>298</v>
      </c>
      <c r="I7" s="116"/>
      <c r="J7" s="116"/>
      <c r="K7" s="9" t="s">
        <v>388</v>
      </c>
      <c r="L7" s="9" t="s">
        <v>389</v>
      </c>
      <c r="M7" s="17" t="s">
        <v>298</v>
      </c>
      <c r="N7" s="116"/>
      <c r="O7" s="116"/>
      <c r="P7" s="17" t="s">
        <v>298</v>
      </c>
      <c r="Q7" s="116"/>
      <c r="R7" s="116"/>
      <c r="S7" s="116"/>
      <c r="T7" s="116"/>
      <c r="U7" s="10" t="s">
        <v>332</v>
      </c>
      <c r="V7" s="19"/>
      <c r="W7" s="19"/>
      <c r="X7" s="19"/>
      <c r="Y7" s="19"/>
      <c r="Z7" s="19"/>
      <c r="AA7" s="19"/>
      <c r="AB7" s="19"/>
      <c r="AC7" s="19"/>
      <c r="AD7" s="19"/>
    </row>
    <row r="8" spans="2:30" ht="14.1" customHeight="1" x14ac:dyDescent="0.3">
      <c r="B8" s="163"/>
      <c r="C8" s="163"/>
      <c r="D8" s="1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</row>
    <row r="9" spans="2:30" ht="14.1" customHeight="1" x14ac:dyDescent="0.3">
      <c r="B9" s="163"/>
      <c r="C9" s="163"/>
      <c r="D9" s="1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</row>
    <row r="10" spans="2:30" ht="14.1" customHeight="1" x14ac:dyDescent="0.3">
      <c r="B10" s="163"/>
      <c r="C10" s="163"/>
      <c r="D10" s="1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</row>
    <row r="11" spans="2:30" ht="14.1" customHeight="1" x14ac:dyDescent="0.3">
      <c r="B11" s="163"/>
      <c r="C11" s="163"/>
      <c r="D11" s="1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2:30" ht="14.1" customHeight="1" x14ac:dyDescent="0.3">
      <c r="B12" s="163"/>
      <c r="C12" s="163"/>
      <c r="D12" s="1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</row>
    <row r="13" spans="2:30" ht="14.1" customHeight="1" x14ac:dyDescent="0.3">
      <c r="B13" s="163"/>
      <c r="C13" s="163"/>
      <c r="D13" s="1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</row>
    <row r="14" spans="2:30" ht="14.1" customHeight="1" x14ac:dyDescent="0.3">
      <c r="B14" s="163"/>
      <c r="C14" s="163"/>
      <c r="D14" s="1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</row>
    <row r="15" spans="2:30" ht="14.1" customHeight="1" x14ac:dyDescent="0.3">
      <c r="B15" s="163"/>
      <c r="C15" s="163"/>
      <c r="D15" s="1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</row>
    <row r="16" spans="2:30" ht="14.1" customHeight="1" x14ac:dyDescent="0.3">
      <c r="B16" s="163"/>
      <c r="C16" s="163"/>
      <c r="D16" s="1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</row>
    <row r="17" spans="2:30" ht="14.1" customHeight="1" x14ac:dyDescent="0.3">
      <c r="B17" s="164" t="s">
        <v>29</v>
      </c>
      <c r="C17" s="164"/>
      <c r="D17" s="164"/>
      <c r="E17" s="164"/>
      <c r="F17" s="164"/>
      <c r="G17" s="106">
        <f>SUM(G8:G16)</f>
        <v>0</v>
      </c>
      <c r="H17" s="106"/>
      <c r="I17" s="107">
        <f>SUM(I8:I16)</f>
        <v>0</v>
      </c>
      <c r="J17" s="106"/>
      <c r="K17" s="106"/>
      <c r="L17" s="106"/>
      <c r="M17" s="106"/>
      <c r="N17" s="107">
        <f>SUM(N8:N16)</f>
        <v>0</v>
      </c>
      <c r="O17" s="106"/>
      <c r="P17" s="106"/>
      <c r="Q17" s="107">
        <f>SUM(Q8:Q16)</f>
        <v>0</v>
      </c>
      <c r="R17" s="106"/>
      <c r="S17" s="107">
        <f>SUM(S8:S16)</f>
        <v>0</v>
      </c>
      <c r="T17" s="106"/>
      <c r="U17" s="108"/>
      <c r="V17" s="109">
        <f t="shared" ref="V17:AD17" si="0">SUM(V7:V16)</f>
        <v>0</v>
      </c>
      <c r="W17" s="109">
        <f t="shared" si="0"/>
        <v>0</v>
      </c>
      <c r="X17" s="109">
        <f t="shared" si="0"/>
        <v>0</v>
      </c>
      <c r="Y17" s="109">
        <f t="shared" si="0"/>
        <v>0</v>
      </c>
      <c r="Z17" s="109">
        <f t="shared" si="0"/>
        <v>0</v>
      </c>
      <c r="AA17" s="109">
        <f t="shared" si="0"/>
        <v>0</v>
      </c>
      <c r="AB17" s="109">
        <f t="shared" si="0"/>
        <v>0</v>
      </c>
      <c r="AC17" s="109">
        <f t="shared" si="0"/>
        <v>0</v>
      </c>
      <c r="AD17" s="109">
        <f t="shared" si="0"/>
        <v>0</v>
      </c>
    </row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33">
    <mergeCell ref="B1:F1"/>
    <mergeCell ref="B4:D7"/>
    <mergeCell ref="E4:T4"/>
    <mergeCell ref="U4:AD4"/>
    <mergeCell ref="E5:G5"/>
    <mergeCell ref="H5:L5"/>
    <mergeCell ref="M5:O5"/>
    <mergeCell ref="P5:R5"/>
    <mergeCell ref="S5:T5"/>
    <mergeCell ref="U5:U6"/>
    <mergeCell ref="V5:W5"/>
    <mergeCell ref="Y5:Z5"/>
    <mergeCell ref="AA5:AB5"/>
    <mergeCell ref="AC5:AD5"/>
    <mergeCell ref="I6:I7"/>
    <mergeCell ref="J6:J7"/>
    <mergeCell ref="S6:S7"/>
    <mergeCell ref="T6:T7"/>
    <mergeCell ref="B8:D8"/>
    <mergeCell ref="B9:D9"/>
    <mergeCell ref="B10:D10"/>
    <mergeCell ref="K6:L6"/>
    <mergeCell ref="N6:N7"/>
    <mergeCell ref="O6:O7"/>
    <mergeCell ref="Q6:Q7"/>
    <mergeCell ref="R6:R7"/>
    <mergeCell ref="B16:D16"/>
    <mergeCell ref="B17:F17"/>
    <mergeCell ref="B11:D11"/>
    <mergeCell ref="B12:D12"/>
    <mergeCell ref="B13:D13"/>
    <mergeCell ref="B14:D14"/>
    <mergeCell ref="B15:D15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G43"/>
  <sheetViews>
    <sheetView topLeftCell="A13" zoomScale="160" zoomScaleNormal="160" workbookViewId="0">
      <selection activeCell="B20" sqref="B20"/>
    </sheetView>
  </sheetViews>
  <sheetFormatPr defaultColWidth="7.6640625" defaultRowHeight="13.8" x14ac:dyDescent="0.3"/>
  <cols>
    <col min="1" max="16384" width="7.6640625" style="62"/>
  </cols>
  <sheetData>
    <row r="1" spans="2:21" ht="14.1" customHeight="1" x14ac:dyDescent="0.3">
      <c r="B1" s="128" t="str">
        <f>'Levantamento Campo'!B1</f>
        <v>Prj Estande de Tiro (50 m) – 5º BIL (Amv)</v>
      </c>
      <c r="C1" s="128"/>
      <c r="D1" s="128"/>
      <c r="E1" s="128"/>
      <c r="F1" s="128"/>
    </row>
    <row r="4" spans="2:21" ht="14.1" customHeight="1" x14ac:dyDescent="0.3">
      <c r="C4" s="15"/>
      <c r="E4" s="116" t="s">
        <v>390</v>
      </c>
      <c r="F4" s="116"/>
      <c r="G4" s="116"/>
      <c r="H4" s="116"/>
      <c r="I4" s="116" t="s">
        <v>45</v>
      </c>
      <c r="J4" s="116"/>
      <c r="K4" s="116"/>
      <c r="L4" s="116"/>
      <c r="M4" s="116"/>
      <c r="N4" s="116" t="s">
        <v>391</v>
      </c>
      <c r="O4" s="116"/>
      <c r="P4" s="116" t="s">
        <v>335</v>
      </c>
      <c r="Q4" s="116"/>
      <c r="R4" s="116"/>
      <c r="S4" s="116"/>
      <c r="T4" s="116"/>
      <c r="U4" s="116"/>
    </row>
    <row r="5" spans="2:21" ht="14.1" customHeight="1" x14ac:dyDescent="0.3">
      <c r="B5" s="15"/>
      <c r="C5" s="15"/>
      <c r="D5" s="15"/>
      <c r="E5" s="116" t="s">
        <v>89</v>
      </c>
      <c r="F5" s="116" t="s">
        <v>2</v>
      </c>
      <c r="G5" s="116"/>
      <c r="H5" s="116"/>
      <c r="I5" s="116" t="s">
        <v>392</v>
      </c>
      <c r="J5" s="116" t="s">
        <v>393</v>
      </c>
      <c r="K5" s="116" t="s">
        <v>394</v>
      </c>
      <c r="L5" s="116" t="s">
        <v>395</v>
      </c>
      <c r="M5" s="116" t="s">
        <v>396</v>
      </c>
      <c r="N5" s="116" t="s">
        <v>393</v>
      </c>
      <c r="O5" s="116" t="s">
        <v>397</v>
      </c>
      <c r="P5" s="116" t="s">
        <v>339</v>
      </c>
      <c r="Q5" s="116"/>
      <c r="R5" s="116"/>
      <c r="S5" s="116" t="s">
        <v>340</v>
      </c>
      <c r="T5" s="116"/>
      <c r="U5" s="116"/>
    </row>
    <row r="6" spans="2:21" ht="14.1" customHeight="1" x14ac:dyDescent="0.3">
      <c r="B6" s="116" t="s">
        <v>5</v>
      </c>
      <c r="C6" s="116"/>
      <c r="D6" s="116"/>
      <c r="E6" s="116"/>
      <c r="F6" s="9" t="s">
        <v>7</v>
      </c>
      <c r="G6" s="9" t="s">
        <v>9</v>
      </c>
      <c r="H6" s="4" t="s">
        <v>6</v>
      </c>
      <c r="I6" s="116"/>
      <c r="J6" s="116"/>
      <c r="K6" s="116"/>
      <c r="L6" s="116"/>
      <c r="M6" s="116"/>
      <c r="N6" s="116"/>
      <c r="O6" s="116"/>
      <c r="P6" s="9" t="s">
        <v>332</v>
      </c>
      <c r="Q6" s="9" t="s">
        <v>6</v>
      </c>
      <c r="R6" s="116" t="s">
        <v>89</v>
      </c>
      <c r="S6" s="116" t="s">
        <v>89</v>
      </c>
      <c r="T6" s="9" t="s">
        <v>332</v>
      </c>
      <c r="U6" s="9" t="s">
        <v>8</v>
      </c>
    </row>
    <row r="7" spans="2:21" ht="14.1" customHeight="1" x14ac:dyDescent="0.3">
      <c r="B7" s="116"/>
      <c r="C7" s="116"/>
      <c r="D7" s="116"/>
      <c r="E7" s="116"/>
      <c r="F7" s="17" t="s">
        <v>353</v>
      </c>
      <c r="G7" s="17" t="s">
        <v>353</v>
      </c>
      <c r="H7" s="69" t="s">
        <v>298</v>
      </c>
      <c r="I7" s="17" t="s">
        <v>13</v>
      </c>
      <c r="J7" s="17" t="s">
        <v>13</v>
      </c>
      <c r="K7" s="17" t="s">
        <v>13</v>
      </c>
      <c r="L7" s="116"/>
      <c r="M7" s="116"/>
      <c r="N7" s="116"/>
      <c r="O7" s="116"/>
      <c r="P7" s="17" t="s">
        <v>353</v>
      </c>
      <c r="Q7" s="17" t="s">
        <v>13</v>
      </c>
      <c r="R7" s="116"/>
      <c r="S7" s="116"/>
      <c r="T7" s="17" t="s">
        <v>353</v>
      </c>
      <c r="U7" s="17" t="s">
        <v>298</v>
      </c>
    </row>
    <row r="8" spans="2:21" ht="14.1" customHeight="1" x14ac:dyDescent="0.3">
      <c r="B8" s="163"/>
      <c r="C8" s="163"/>
      <c r="D8" s="1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</row>
    <row r="9" spans="2:21" ht="14.1" customHeight="1" x14ac:dyDescent="0.3">
      <c r="B9" s="163"/>
      <c r="C9" s="163"/>
      <c r="D9" s="1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 spans="2:21" ht="14.1" customHeight="1" x14ac:dyDescent="0.3">
      <c r="B10" s="163"/>
      <c r="C10" s="163"/>
      <c r="D10" s="1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</row>
    <row r="11" spans="2:21" ht="14.1" customHeight="1" x14ac:dyDescent="0.3">
      <c r="B11" s="163"/>
      <c r="C11" s="163"/>
      <c r="D11" s="1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</row>
    <row r="12" spans="2:21" ht="14.1" customHeight="1" x14ac:dyDescent="0.3">
      <c r="B12" s="163"/>
      <c r="C12" s="163"/>
      <c r="D12" s="1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</row>
    <row r="13" spans="2:21" ht="14.1" customHeight="1" x14ac:dyDescent="0.3">
      <c r="B13" s="163"/>
      <c r="C13" s="163"/>
      <c r="D13" s="1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</row>
    <row r="14" spans="2:21" ht="14.1" customHeight="1" x14ac:dyDescent="0.3">
      <c r="B14" s="163"/>
      <c r="C14" s="163"/>
      <c r="D14" s="1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</row>
    <row r="15" spans="2:21" ht="14.1" customHeight="1" x14ac:dyDescent="0.3">
      <c r="B15" s="163"/>
      <c r="C15" s="163"/>
      <c r="D15" s="1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</row>
    <row r="16" spans="2:21" ht="14.1" customHeight="1" x14ac:dyDescent="0.3">
      <c r="B16" s="163"/>
      <c r="C16" s="163"/>
      <c r="D16" s="1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</row>
    <row r="17" spans="2:33" ht="14.1" customHeight="1" x14ac:dyDescent="0.3">
      <c r="B17" s="164" t="s">
        <v>29</v>
      </c>
      <c r="C17" s="164"/>
      <c r="D17" s="164"/>
      <c r="E17" s="2">
        <f>SUM(E8:E16)</f>
        <v>0</v>
      </c>
      <c r="F17" s="2"/>
      <c r="G17" s="2"/>
      <c r="H17" s="2"/>
      <c r="I17" s="106">
        <f t="shared" ref="I17:O17" si="0">SUM(I8:I16)</f>
        <v>0</v>
      </c>
      <c r="J17" s="106">
        <f t="shared" si="0"/>
        <v>0</v>
      </c>
      <c r="K17" s="106">
        <f t="shared" si="0"/>
        <v>0</v>
      </c>
      <c r="L17" s="2">
        <f t="shared" si="0"/>
        <v>0</v>
      </c>
      <c r="M17" s="2">
        <f t="shared" si="0"/>
        <v>0</v>
      </c>
      <c r="N17" s="2">
        <f t="shared" si="0"/>
        <v>0</v>
      </c>
      <c r="O17" s="2">
        <f t="shared" si="0"/>
        <v>0</v>
      </c>
      <c r="P17" s="2"/>
      <c r="Q17" s="106">
        <f>SUM(Q8:Q16)</f>
        <v>0</v>
      </c>
      <c r="R17" s="2">
        <f>SUM(R8:R16)</f>
        <v>0</v>
      </c>
      <c r="S17" s="2">
        <f>SUM(S8:S16)</f>
        <v>0</v>
      </c>
      <c r="T17" s="2"/>
      <c r="U17" s="2"/>
    </row>
    <row r="20" spans="2:33" x14ac:dyDescent="0.3">
      <c r="J20" s="117" t="s">
        <v>49</v>
      </c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 t="s">
        <v>375</v>
      </c>
      <c r="Y20" s="117"/>
      <c r="Z20" s="117"/>
      <c r="AA20" s="117"/>
      <c r="AB20" s="117"/>
      <c r="AC20" s="117"/>
      <c r="AD20" s="117"/>
      <c r="AE20" s="117"/>
      <c r="AF20" s="117"/>
      <c r="AG20" s="117"/>
    </row>
    <row r="21" spans="2:33" ht="14.1" customHeight="1" x14ac:dyDescent="0.3">
      <c r="C21" s="3"/>
      <c r="E21" s="117" t="s">
        <v>398</v>
      </c>
      <c r="F21" s="117"/>
      <c r="G21" s="117"/>
      <c r="H21" s="117"/>
      <c r="I21" s="117"/>
      <c r="J21" s="116" t="s">
        <v>89</v>
      </c>
      <c r="K21" s="116" t="s">
        <v>2</v>
      </c>
      <c r="L21" s="116"/>
      <c r="M21" s="116"/>
      <c r="N21" s="116" t="s">
        <v>399</v>
      </c>
      <c r="O21" s="116"/>
      <c r="P21" s="116"/>
      <c r="Q21" s="116" t="s">
        <v>400</v>
      </c>
      <c r="R21" s="116"/>
      <c r="S21" s="116"/>
      <c r="T21" s="153" t="s">
        <v>401</v>
      </c>
      <c r="U21" s="153"/>
      <c r="V21" s="117" t="s">
        <v>402</v>
      </c>
      <c r="W21" s="117"/>
      <c r="X21" s="117" t="s">
        <v>11</v>
      </c>
      <c r="Y21" s="116" t="s">
        <v>378</v>
      </c>
      <c r="Z21" s="116"/>
      <c r="AA21" s="9" t="s">
        <v>379</v>
      </c>
      <c r="AB21" s="116" t="s">
        <v>380</v>
      </c>
      <c r="AC21" s="116"/>
      <c r="AD21" s="116" t="s">
        <v>381</v>
      </c>
      <c r="AE21" s="116"/>
      <c r="AF21" s="116" t="s">
        <v>382</v>
      </c>
      <c r="AG21" s="116"/>
    </row>
    <row r="22" spans="2:33" ht="14.1" customHeight="1" x14ac:dyDescent="0.3">
      <c r="B22" s="116" t="s">
        <v>5</v>
      </c>
      <c r="C22" s="116"/>
      <c r="D22" s="116"/>
      <c r="E22" s="116" t="s">
        <v>72</v>
      </c>
      <c r="F22" s="116" t="s">
        <v>11</v>
      </c>
      <c r="G22" s="9" t="s">
        <v>201</v>
      </c>
      <c r="H22" s="116" t="s">
        <v>403</v>
      </c>
      <c r="I22" s="116" t="s">
        <v>89</v>
      </c>
      <c r="J22" s="116"/>
      <c r="K22" s="9" t="s">
        <v>7</v>
      </c>
      <c r="L22" s="9" t="s">
        <v>404</v>
      </c>
      <c r="M22" s="9" t="s">
        <v>8</v>
      </c>
      <c r="N22" s="9" t="s">
        <v>7</v>
      </c>
      <c r="O22" s="9" t="s">
        <v>9</v>
      </c>
      <c r="P22" s="9" t="s">
        <v>6</v>
      </c>
      <c r="Q22" s="9" t="s">
        <v>332</v>
      </c>
      <c r="R22" s="9" t="s">
        <v>8</v>
      </c>
      <c r="S22" s="9" t="s">
        <v>6</v>
      </c>
      <c r="T22" s="9" t="s">
        <v>332</v>
      </c>
      <c r="U22" s="116" t="s">
        <v>89</v>
      </c>
      <c r="V22" s="9" t="s">
        <v>332</v>
      </c>
      <c r="W22" s="116" t="s">
        <v>89</v>
      </c>
      <c r="X22" s="117"/>
      <c r="Y22" s="9" t="s">
        <v>384</v>
      </c>
      <c r="Z22" s="9" t="s">
        <v>385</v>
      </c>
      <c r="AA22" s="9" t="s">
        <v>384</v>
      </c>
      <c r="AB22" s="10" t="s">
        <v>386</v>
      </c>
      <c r="AC22" s="10" t="s">
        <v>387</v>
      </c>
      <c r="AD22" s="10" t="s">
        <v>386</v>
      </c>
      <c r="AE22" s="10" t="s">
        <v>387</v>
      </c>
      <c r="AF22" s="9" t="s">
        <v>385</v>
      </c>
      <c r="AG22" s="10" t="s">
        <v>387</v>
      </c>
    </row>
    <row r="23" spans="2:33" x14ac:dyDescent="0.3">
      <c r="B23" s="116"/>
      <c r="C23" s="116"/>
      <c r="D23" s="116"/>
      <c r="E23" s="116"/>
      <c r="F23" s="116"/>
      <c r="G23" s="19" t="s">
        <v>146</v>
      </c>
      <c r="H23" s="116"/>
      <c r="I23" s="116"/>
      <c r="J23" s="116"/>
      <c r="K23" s="17" t="s">
        <v>220</v>
      </c>
      <c r="L23" s="17" t="s">
        <v>220</v>
      </c>
      <c r="M23" s="17" t="s">
        <v>220</v>
      </c>
      <c r="N23" s="17" t="s">
        <v>220</v>
      </c>
      <c r="O23" s="17" t="s">
        <v>298</v>
      </c>
      <c r="P23" s="17" t="s">
        <v>220</v>
      </c>
      <c r="Q23" s="17" t="s">
        <v>353</v>
      </c>
      <c r="R23" s="17" t="s">
        <v>220</v>
      </c>
      <c r="S23" s="17" t="s">
        <v>13</v>
      </c>
      <c r="T23" s="17" t="s">
        <v>353</v>
      </c>
      <c r="U23" s="116"/>
      <c r="V23" s="17" t="s">
        <v>353</v>
      </c>
      <c r="W23" s="116"/>
      <c r="X23" s="10" t="s">
        <v>332</v>
      </c>
      <c r="Y23" s="19"/>
      <c r="Z23" s="19"/>
      <c r="AA23" s="19"/>
      <c r="AB23" s="19"/>
      <c r="AC23" s="19"/>
      <c r="AD23" s="19"/>
      <c r="AE23" s="19"/>
      <c r="AF23" s="19"/>
      <c r="AG23" s="19"/>
    </row>
    <row r="24" spans="2:33" x14ac:dyDescent="0.3">
      <c r="B24" s="149"/>
      <c r="C24" s="149"/>
      <c r="D24" s="149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</row>
    <row r="25" spans="2:33" x14ac:dyDescent="0.3">
      <c r="B25" s="149"/>
      <c r="C25" s="149"/>
      <c r="D25" s="149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</row>
    <row r="26" spans="2:33" x14ac:dyDescent="0.3">
      <c r="B26" s="149"/>
      <c r="C26" s="149"/>
      <c r="D26" s="149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</row>
    <row r="27" spans="2:33" x14ac:dyDescent="0.3">
      <c r="B27" s="149"/>
      <c r="C27" s="149"/>
      <c r="D27" s="149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2:33" x14ac:dyDescent="0.3">
      <c r="B28" s="149"/>
      <c r="C28" s="149"/>
      <c r="D28" s="149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2:33" x14ac:dyDescent="0.3">
      <c r="B29" s="149"/>
      <c r="C29" s="149"/>
      <c r="D29" s="149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2:33" x14ac:dyDescent="0.3">
      <c r="B30" s="149"/>
      <c r="C30" s="149"/>
      <c r="D30" s="149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</row>
    <row r="31" spans="2:33" x14ac:dyDescent="0.3">
      <c r="B31" s="149"/>
      <c r="C31" s="149"/>
      <c r="D31" s="149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</row>
    <row r="32" spans="2:33" x14ac:dyDescent="0.3">
      <c r="B32" s="149"/>
      <c r="C32" s="149"/>
      <c r="D32" s="149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</row>
    <row r="33" spans="2:33" x14ac:dyDescent="0.3">
      <c r="B33" s="149"/>
      <c r="C33" s="149"/>
      <c r="D33" s="149"/>
      <c r="E33" s="63"/>
      <c r="F33" s="63"/>
      <c r="G33" s="63"/>
      <c r="H33" s="63"/>
      <c r="I33" s="63"/>
      <c r="J33" s="2"/>
      <c r="K33" s="2"/>
      <c r="L33" s="2"/>
      <c r="M33" s="2"/>
      <c r="N33" s="2"/>
      <c r="O33" s="2"/>
      <c r="P33" s="2"/>
      <c r="Q33" s="2"/>
      <c r="R33" s="2"/>
      <c r="S33" s="2">
        <f t="shared" ref="S33:S43" si="1">SUM(S24:S32)</f>
        <v>0</v>
      </c>
      <c r="T33" s="2"/>
      <c r="U33" s="2"/>
      <c r="V33" s="2"/>
      <c r="W33" s="2"/>
      <c r="X33" s="108"/>
      <c r="Y33" s="109"/>
      <c r="Z33" s="109"/>
      <c r="AA33" s="109"/>
      <c r="AB33" s="109"/>
      <c r="AC33" s="109"/>
      <c r="AD33" s="109"/>
      <c r="AE33" s="109"/>
      <c r="AF33" s="109"/>
      <c r="AG33" s="109"/>
    </row>
    <row r="34" spans="2:33" x14ac:dyDescent="0.3">
      <c r="B34" s="149"/>
      <c r="C34" s="149"/>
      <c r="D34" s="149"/>
      <c r="E34" s="63"/>
      <c r="F34" s="63"/>
      <c r="G34" s="63"/>
      <c r="H34" s="63"/>
      <c r="I34" s="63"/>
      <c r="J34" s="2"/>
      <c r="K34" s="2"/>
      <c r="L34" s="2"/>
      <c r="M34" s="2"/>
      <c r="N34" s="2"/>
      <c r="O34" s="2"/>
      <c r="P34" s="2"/>
      <c r="Q34" s="2"/>
      <c r="R34" s="2"/>
      <c r="S34" s="2">
        <f t="shared" si="1"/>
        <v>0</v>
      </c>
      <c r="T34" s="2"/>
      <c r="U34" s="2"/>
      <c r="V34" s="2"/>
      <c r="W34" s="2"/>
      <c r="X34" s="108"/>
      <c r="Y34" s="109"/>
      <c r="Z34" s="109"/>
      <c r="AA34" s="109"/>
      <c r="AB34" s="109"/>
      <c r="AC34" s="109"/>
      <c r="AD34" s="109"/>
      <c r="AE34" s="109"/>
      <c r="AF34" s="109"/>
      <c r="AG34" s="109"/>
    </row>
    <row r="35" spans="2:33" x14ac:dyDescent="0.3">
      <c r="B35" s="149"/>
      <c r="C35" s="149"/>
      <c r="D35" s="149"/>
      <c r="E35" s="63"/>
      <c r="F35" s="63"/>
      <c r="G35" s="63"/>
      <c r="H35" s="63"/>
      <c r="I35" s="63"/>
      <c r="J35" s="2"/>
      <c r="K35" s="2"/>
      <c r="L35" s="2"/>
      <c r="M35" s="2"/>
      <c r="N35" s="2"/>
      <c r="O35" s="2"/>
      <c r="P35" s="2"/>
      <c r="Q35" s="2"/>
      <c r="R35" s="2"/>
      <c r="S35" s="2">
        <f t="shared" si="1"/>
        <v>0</v>
      </c>
      <c r="T35" s="2"/>
      <c r="U35" s="2"/>
      <c r="V35" s="2"/>
      <c r="W35" s="2"/>
      <c r="X35" s="108"/>
      <c r="Y35" s="109"/>
      <c r="Z35" s="109"/>
      <c r="AA35" s="109"/>
      <c r="AB35" s="109"/>
      <c r="AC35" s="109"/>
      <c r="AD35" s="109"/>
      <c r="AE35" s="109"/>
      <c r="AF35" s="109"/>
      <c r="AG35" s="109"/>
    </row>
    <row r="36" spans="2:33" x14ac:dyDescent="0.3">
      <c r="B36" s="149"/>
      <c r="C36" s="149"/>
      <c r="D36" s="149"/>
      <c r="E36" s="63"/>
      <c r="F36" s="63"/>
      <c r="G36" s="63"/>
      <c r="H36" s="63"/>
      <c r="I36" s="63"/>
      <c r="J36" s="2"/>
      <c r="K36" s="2"/>
      <c r="L36" s="2"/>
      <c r="M36" s="2"/>
      <c r="N36" s="2"/>
      <c r="O36" s="2"/>
      <c r="P36" s="2"/>
      <c r="Q36" s="2"/>
      <c r="R36" s="2"/>
      <c r="S36" s="2">
        <f t="shared" si="1"/>
        <v>0</v>
      </c>
      <c r="T36" s="2"/>
      <c r="U36" s="2"/>
      <c r="V36" s="2"/>
      <c r="W36" s="2"/>
      <c r="X36" s="108"/>
      <c r="Y36" s="109"/>
      <c r="Z36" s="109"/>
      <c r="AA36" s="109"/>
      <c r="AB36" s="109"/>
      <c r="AC36" s="109"/>
      <c r="AD36" s="109"/>
      <c r="AE36" s="109"/>
      <c r="AF36" s="109"/>
      <c r="AG36" s="109"/>
    </row>
    <row r="37" spans="2:33" x14ac:dyDescent="0.3">
      <c r="B37" s="149"/>
      <c r="C37" s="149"/>
      <c r="D37" s="149"/>
      <c r="E37" s="63"/>
      <c r="F37" s="63"/>
      <c r="G37" s="63"/>
      <c r="H37" s="63"/>
      <c r="I37" s="63"/>
      <c r="J37" s="2"/>
      <c r="K37" s="2"/>
      <c r="L37" s="2"/>
      <c r="M37" s="2"/>
      <c r="N37" s="2"/>
      <c r="O37" s="2"/>
      <c r="P37" s="2"/>
      <c r="Q37" s="2"/>
      <c r="R37" s="2"/>
      <c r="S37" s="2">
        <f t="shared" si="1"/>
        <v>0</v>
      </c>
      <c r="T37" s="2"/>
      <c r="U37" s="2"/>
      <c r="V37" s="2"/>
      <c r="W37" s="2"/>
      <c r="X37" s="108"/>
      <c r="Y37" s="109"/>
      <c r="Z37" s="109"/>
      <c r="AA37" s="109"/>
      <c r="AB37" s="109"/>
      <c r="AC37" s="109"/>
      <c r="AD37" s="109"/>
      <c r="AE37" s="109"/>
      <c r="AF37" s="109"/>
      <c r="AG37" s="109"/>
    </row>
    <row r="38" spans="2:33" x14ac:dyDescent="0.3">
      <c r="B38" s="149"/>
      <c r="C38" s="149"/>
      <c r="D38" s="149"/>
      <c r="E38" s="63"/>
      <c r="F38" s="63"/>
      <c r="G38" s="63"/>
      <c r="H38" s="63"/>
      <c r="I38" s="63"/>
      <c r="J38" s="2"/>
      <c r="K38" s="2"/>
      <c r="L38" s="2"/>
      <c r="M38" s="2"/>
      <c r="N38" s="2"/>
      <c r="O38" s="2"/>
      <c r="P38" s="2"/>
      <c r="Q38" s="2"/>
      <c r="R38" s="2"/>
      <c r="S38" s="2">
        <f t="shared" si="1"/>
        <v>0</v>
      </c>
      <c r="T38" s="2"/>
      <c r="U38" s="2"/>
      <c r="V38" s="2"/>
      <c r="W38" s="2"/>
      <c r="X38" s="108"/>
      <c r="Y38" s="109"/>
      <c r="Z38" s="109"/>
      <c r="AA38" s="109"/>
      <c r="AB38" s="109"/>
      <c r="AC38" s="109"/>
      <c r="AD38" s="109"/>
      <c r="AE38" s="109"/>
      <c r="AF38" s="109"/>
      <c r="AG38" s="109"/>
    </row>
    <row r="39" spans="2:33" x14ac:dyDescent="0.3">
      <c r="B39" s="149"/>
      <c r="C39" s="149"/>
      <c r="D39" s="149"/>
      <c r="E39" s="63"/>
      <c r="F39" s="63"/>
      <c r="G39" s="63"/>
      <c r="H39" s="63"/>
      <c r="I39" s="63"/>
      <c r="J39" s="2"/>
      <c r="K39" s="2"/>
      <c r="L39" s="2"/>
      <c r="M39" s="2"/>
      <c r="N39" s="2"/>
      <c r="O39" s="2"/>
      <c r="P39" s="2"/>
      <c r="Q39" s="2"/>
      <c r="R39" s="2"/>
      <c r="S39" s="2">
        <f t="shared" si="1"/>
        <v>0</v>
      </c>
      <c r="T39" s="2"/>
      <c r="U39" s="2"/>
      <c r="V39" s="2"/>
      <c r="W39" s="2"/>
      <c r="X39" s="108"/>
      <c r="Y39" s="109"/>
      <c r="Z39" s="109"/>
      <c r="AA39" s="109"/>
      <c r="AB39" s="109"/>
      <c r="AC39" s="109"/>
      <c r="AD39" s="109"/>
      <c r="AE39" s="109"/>
      <c r="AF39" s="109"/>
      <c r="AG39" s="109"/>
    </row>
    <row r="40" spans="2:33" x14ac:dyDescent="0.3">
      <c r="B40" s="149"/>
      <c r="C40" s="149"/>
      <c r="D40" s="149"/>
      <c r="E40" s="63"/>
      <c r="F40" s="63"/>
      <c r="G40" s="63"/>
      <c r="H40" s="63"/>
      <c r="I40" s="63"/>
      <c r="J40" s="2"/>
      <c r="K40" s="2"/>
      <c r="L40" s="2"/>
      <c r="M40" s="2"/>
      <c r="N40" s="2"/>
      <c r="O40" s="2"/>
      <c r="P40" s="2"/>
      <c r="Q40" s="2"/>
      <c r="R40" s="2"/>
      <c r="S40" s="2">
        <f t="shared" si="1"/>
        <v>0</v>
      </c>
      <c r="T40" s="2"/>
      <c r="U40" s="2"/>
      <c r="V40" s="2"/>
      <c r="W40" s="2"/>
      <c r="X40" s="108"/>
      <c r="Y40" s="109"/>
      <c r="Z40" s="109"/>
      <c r="AA40" s="109"/>
      <c r="AB40" s="109"/>
      <c r="AC40" s="109"/>
      <c r="AD40" s="109"/>
      <c r="AE40" s="109"/>
      <c r="AF40" s="109"/>
      <c r="AG40" s="109"/>
    </row>
    <row r="41" spans="2:33" x14ac:dyDescent="0.3">
      <c r="B41" s="149"/>
      <c r="C41" s="149"/>
      <c r="D41" s="149"/>
      <c r="E41" s="63"/>
      <c r="F41" s="63"/>
      <c r="G41" s="63"/>
      <c r="H41" s="63"/>
      <c r="I41" s="63"/>
      <c r="J41" s="2"/>
      <c r="K41" s="2"/>
      <c r="L41" s="2"/>
      <c r="M41" s="2"/>
      <c r="N41" s="2"/>
      <c r="O41" s="2"/>
      <c r="P41" s="2"/>
      <c r="Q41" s="2"/>
      <c r="R41" s="2"/>
      <c r="S41" s="2">
        <f t="shared" si="1"/>
        <v>0</v>
      </c>
      <c r="T41" s="2"/>
      <c r="U41" s="2"/>
      <c r="V41" s="2"/>
      <c r="W41" s="2"/>
      <c r="X41" s="108"/>
      <c r="Y41" s="109"/>
      <c r="Z41" s="109"/>
      <c r="AA41" s="109"/>
      <c r="AB41" s="109"/>
      <c r="AC41" s="109"/>
      <c r="AD41" s="109"/>
      <c r="AE41" s="109"/>
      <c r="AF41" s="109"/>
      <c r="AG41" s="109"/>
    </row>
    <row r="42" spans="2:33" x14ac:dyDescent="0.3">
      <c r="B42" s="149"/>
      <c r="C42" s="149"/>
      <c r="D42" s="149"/>
      <c r="E42" s="63"/>
      <c r="F42" s="63"/>
      <c r="G42" s="63"/>
      <c r="H42" s="63"/>
      <c r="I42" s="63"/>
      <c r="J42" s="2"/>
      <c r="K42" s="2"/>
      <c r="L42" s="2"/>
      <c r="M42" s="2"/>
      <c r="N42" s="2"/>
      <c r="O42" s="2"/>
      <c r="P42" s="2"/>
      <c r="Q42" s="2"/>
      <c r="R42" s="2"/>
      <c r="S42" s="2">
        <f t="shared" si="1"/>
        <v>0</v>
      </c>
      <c r="T42" s="2"/>
      <c r="U42" s="2"/>
      <c r="V42" s="2"/>
      <c r="W42" s="2"/>
      <c r="X42" s="108"/>
      <c r="Y42" s="109"/>
      <c r="Z42" s="109"/>
      <c r="AA42" s="109"/>
      <c r="AB42" s="109"/>
      <c r="AC42" s="109"/>
      <c r="AD42" s="109"/>
      <c r="AE42" s="109"/>
      <c r="AF42" s="109"/>
      <c r="AG42" s="109"/>
    </row>
    <row r="43" spans="2:33" x14ac:dyDescent="0.3">
      <c r="B43" s="150" t="s">
        <v>29</v>
      </c>
      <c r="C43" s="150"/>
      <c r="D43" s="150"/>
      <c r="E43" s="150"/>
      <c r="F43" s="150"/>
      <c r="G43" s="150"/>
      <c r="H43" s="150"/>
      <c r="I43" s="10">
        <f>SUM(I24:I42)</f>
        <v>0</v>
      </c>
      <c r="J43" s="2">
        <f>SUM(J34:J42)</f>
        <v>0</v>
      </c>
      <c r="K43" s="2"/>
      <c r="L43" s="2"/>
      <c r="M43" s="2"/>
      <c r="N43" s="2"/>
      <c r="O43" s="2"/>
      <c r="P43" s="2"/>
      <c r="Q43" s="2"/>
      <c r="R43" s="2"/>
      <c r="S43" s="2">
        <f t="shared" si="1"/>
        <v>0</v>
      </c>
      <c r="T43" s="2"/>
      <c r="U43" s="2">
        <f>SUM(U34:U42)</f>
        <v>0</v>
      </c>
      <c r="V43" s="2"/>
      <c r="W43" s="2">
        <f>SUM(W34:W42)</f>
        <v>0</v>
      </c>
      <c r="X43" s="108"/>
      <c r="Y43" s="109">
        <f t="shared" ref="Y43:AG43" si="2">SUM(Y33:Y42)</f>
        <v>0</v>
      </c>
      <c r="Z43" s="109">
        <f t="shared" si="2"/>
        <v>0</v>
      </c>
      <c r="AA43" s="109">
        <f t="shared" si="2"/>
        <v>0</v>
      </c>
      <c r="AB43" s="109">
        <f t="shared" si="2"/>
        <v>0</v>
      </c>
      <c r="AC43" s="109">
        <f t="shared" si="2"/>
        <v>0</v>
      </c>
      <c r="AD43" s="109">
        <f t="shared" si="2"/>
        <v>0</v>
      </c>
      <c r="AE43" s="109">
        <f t="shared" si="2"/>
        <v>0</v>
      </c>
      <c r="AF43" s="109">
        <f t="shared" si="2"/>
        <v>0</v>
      </c>
      <c r="AG43" s="109">
        <f t="shared" si="2"/>
        <v>0</v>
      </c>
    </row>
  </sheetData>
  <mergeCells count="70">
    <mergeCell ref="B1:F1"/>
    <mergeCell ref="E4:H4"/>
    <mergeCell ref="I4:M4"/>
    <mergeCell ref="N4:O4"/>
    <mergeCell ref="P4:U4"/>
    <mergeCell ref="S5:U5"/>
    <mergeCell ref="B6:D7"/>
    <mergeCell ref="R6:R7"/>
    <mergeCell ref="S6:S7"/>
    <mergeCell ref="B8:D8"/>
    <mergeCell ref="L5:L7"/>
    <mergeCell ref="M5:M7"/>
    <mergeCell ref="N5:N7"/>
    <mergeCell ref="O5:O7"/>
    <mergeCell ref="P5:R5"/>
    <mergeCell ref="E5:E7"/>
    <mergeCell ref="F5:H5"/>
    <mergeCell ref="I5:I6"/>
    <mergeCell ref="J5:J6"/>
    <mergeCell ref="K5:K6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J20:W20"/>
    <mergeCell ref="X20:AG20"/>
    <mergeCell ref="E21:I21"/>
    <mergeCell ref="J21:J23"/>
    <mergeCell ref="K21:M21"/>
    <mergeCell ref="N21:P21"/>
    <mergeCell ref="Q21:S21"/>
    <mergeCell ref="T21:U21"/>
    <mergeCell ref="V21:W21"/>
    <mergeCell ref="X21:X22"/>
    <mergeCell ref="Y21:Z21"/>
    <mergeCell ref="AB21:AC21"/>
    <mergeCell ref="AD21:AE21"/>
    <mergeCell ref="AF21:AG21"/>
    <mergeCell ref="U22:U23"/>
    <mergeCell ref="W22:W23"/>
    <mergeCell ref="B22:D23"/>
    <mergeCell ref="E22:E23"/>
    <mergeCell ref="F22:F23"/>
    <mergeCell ref="H22:H23"/>
    <mergeCell ref="I22:I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H43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27"/>
  <sheetViews>
    <sheetView zoomScale="160" zoomScaleNormal="160" workbookViewId="0">
      <selection activeCell="P11" sqref="P11"/>
    </sheetView>
  </sheetViews>
  <sheetFormatPr defaultColWidth="7.6640625" defaultRowHeight="13.8" x14ac:dyDescent="0.3"/>
  <cols>
    <col min="1" max="16384" width="7.6640625" style="62"/>
  </cols>
  <sheetData>
    <row r="1" spans="2:20" ht="14.1" customHeight="1" x14ac:dyDescent="0.3">
      <c r="B1" s="146" t="str">
        <f>'Levantamento Campo'!B1</f>
        <v>Prj Estande de Tiro (50 m) – 5º BIL (Amv)</v>
      </c>
      <c r="C1" s="146"/>
      <c r="D1" s="146"/>
      <c r="E1" s="146"/>
      <c r="F1" s="146"/>
    </row>
    <row r="2" spans="2:20" ht="14.1" customHeight="1" x14ac:dyDescent="0.3">
      <c r="B2" s="45"/>
    </row>
    <row r="3" spans="2:20" ht="14.1" customHeight="1" x14ac:dyDescent="0.3">
      <c r="B3" s="45"/>
    </row>
    <row r="4" spans="2:20" ht="14.1" customHeight="1" x14ac:dyDescent="0.3">
      <c r="B4" s="44"/>
      <c r="C4" s="57"/>
      <c r="D4" s="44"/>
      <c r="E4" s="133" t="s">
        <v>405</v>
      </c>
      <c r="F4" s="133"/>
      <c r="G4" s="133"/>
      <c r="H4" s="133"/>
      <c r="I4" s="133"/>
      <c r="J4" s="133"/>
      <c r="K4" s="133"/>
      <c r="L4" s="133"/>
      <c r="M4" s="133"/>
      <c r="N4" s="117" t="s">
        <v>406</v>
      </c>
      <c r="O4" s="117"/>
      <c r="P4" s="117"/>
      <c r="Q4" s="117"/>
      <c r="R4" s="117"/>
      <c r="S4" s="117"/>
      <c r="T4" s="117"/>
    </row>
    <row r="5" spans="2:20" ht="14.1" customHeight="1" x14ac:dyDescent="0.3">
      <c r="B5" s="116" t="s">
        <v>5</v>
      </c>
      <c r="C5" s="116"/>
      <c r="D5" s="116"/>
      <c r="E5" s="116" t="s">
        <v>72</v>
      </c>
      <c r="F5" s="117" t="s">
        <v>407</v>
      </c>
      <c r="G5" s="117" t="s">
        <v>408</v>
      </c>
      <c r="H5" s="116" t="s">
        <v>409</v>
      </c>
      <c r="I5" s="117" t="s">
        <v>410</v>
      </c>
      <c r="J5" s="117" t="s">
        <v>411</v>
      </c>
      <c r="K5" s="116" t="s">
        <v>412</v>
      </c>
      <c r="L5" s="116" t="s">
        <v>413</v>
      </c>
      <c r="M5" s="116" t="s">
        <v>414</v>
      </c>
      <c r="N5" s="116" t="s">
        <v>415</v>
      </c>
      <c r="O5" s="116" t="s">
        <v>416</v>
      </c>
      <c r="P5" s="116" t="s">
        <v>417</v>
      </c>
      <c r="Q5" s="116" t="s">
        <v>418</v>
      </c>
      <c r="R5" s="116" t="s">
        <v>419</v>
      </c>
      <c r="S5" s="116"/>
      <c r="T5" s="111"/>
    </row>
    <row r="6" spans="2:20" ht="14.1" customHeight="1" x14ac:dyDescent="0.3">
      <c r="B6" s="116"/>
      <c r="C6" s="116"/>
      <c r="D6" s="116"/>
      <c r="E6" s="116"/>
      <c r="F6" s="117"/>
      <c r="G6" s="117"/>
      <c r="H6" s="116"/>
      <c r="I6" s="117"/>
      <c r="J6" s="117"/>
      <c r="K6" s="116"/>
      <c r="L6" s="116"/>
      <c r="M6" s="116"/>
      <c r="N6" s="116"/>
      <c r="O6" s="116"/>
      <c r="P6" s="116"/>
      <c r="Q6" s="116"/>
      <c r="R6" s="116"/>
      <c r="S6" s="116"/>
      <c r="T6" s="111"/>
    </row>
    <row r="7" spans="2:20" ht="14.1" customHeight="1" x14ac:dyDescent="0.3">
      <c r="B7" s="149"/>
      <c r="C7" s="149"/>
      <c r="D7" s="149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</row>
    <row r="8" spans="2:20" ht="14.1" customHeight="1" x14ac:dyDescent="0.3">
      <c r="B8" s="149"/>
      <c r="C8" s="149"/>
      <c r="D8" s="149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</row>
    <row r="9" spans="2:20" ht="14.1" customHeight="1" x14ac:dyDescent="0.3">
      <c r="B9" s="149"/>
      <c r="C9" s="149"/>
      <c r="D9" s="149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  <row r="10" spans="2:20" ht="14.1" customHeight="1" x14ac:dyDescent="0.3">
      <c r="B10" s="149"/>
      <c r="C10" s="149"/>
      <c r="D10" s="149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</row>
    <row r="11" spans="2:20" ht="14.1" customHeight="1" x14ac:dyDescent="0.3">
      <c r="B11" s="149"/>
      <c r="C11" s="149"/>
      <c r="D11" s="149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</row>
    <row r="12" spans="2:20" ht="14.1" customHeight="1" x14ac:dyDescent="0.3">
      <c r="B12" s="149"/>
      <c r="C12" s="149"/>
      <c r="D12" s="14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</row>
    <row r="13" spans="2:20" ht="14.1" customHeight="1" x14ac:dyDescent="0.3">
      <c r="B13" s="149"/>
      <c r="C13" s="149"/>
      <c r="D13" s="14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</row>
    <row r="14" spans="2:20" ht="14.1" customHeight="1" x14ac:dyDescent="0.3">
      <c r="B14" s="149"/>
      <c r="C14" s="149"/>
      <c r="D14" s="149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</row>
    <row r="15" spans="2:20" ht="14.1" customHeight="1" x14ac:dyDescent="0.3">
      <c r="B15" s="149"/>
      <c r="C15" s="149"/>
      <c r="D15" s="149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</row>
    <row r="16" spans="2:20" ht="14.1" customHeight="1" x14ac:dyDescent="0.3">
      <c r="B16" s="149"/>
      <c r="C16" s="149"/>
      <c r="D16" s="149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</row>
    <row r="17" spans="2:20" ht="14.1" customHeight="1" x14ac:dyDescent="0.3">
      <c r="B17" s="149"/>
      <c r="C17" s="149"/>
      <c r="D17" s="149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</row>
    <row r="18" spans="2:20" ht="14.1" customHeight="1" x14ac:dyDescent="0.3">
      <c r="B18" s="149"/>
      <c r="C18" s="149"/>
      <c r="D18" s="149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</row>
    <row r="19" spans="2:20" ht="14.1" customHeight="1" x14ac:dyDescent="0.3">
      <c r="B19" s="149"/>
      <c r="C19" s="149"/>
      <c r="D19" s="149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</row>
    <row r="20" spans="2:20" ht="14.1" customHeight="1" x14ac:dyDescent="0.3">
      <c r="B20" s="149"/>
      <c r="C20" s="149"/>
      <c r="D20" s="149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</row>
    <row r="21" spans="2:20" ht="14.1" customHeight="1" x14ac:dyDescent="0.3">
      <c r="B21" s="149"/>
      <c r="C21" s="149"/>
      <c r="D21" s="149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</row>
    <row r="22" spans="2:20" ht="14.1" customHeight="1" x14ac:dyDescent="0.3">
      <c r="B22" s="149"/>
      <c r="C22" s="149"/>
      <c r="D22" s="14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</row>
    <row r="23" spans="2:20" ht="14.1" customHeight="1" x14ac:dyDescent="0.3">
      <c r="B23" s="149"/>
      <c r="C23" s="149"/>
      <c r="D23" s="149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</row>
    <row r="24" spans="2:20" ht="14.1" customHeight="1" x14ac:dyDescent="0.3">
      <c r="B24" s="149"/>
      <c r="C24" s="149"/>
      <c r="D24" s="149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</row>
    <row r="25" spans="2:20" ht="14.1" customHeight="1" x14ac:dyDescent="0.3">
      <c r="B25" s="149"/>
      <c r="C25" s="149"/>
      <c r="D25" s="149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</row>
    <row r="26" spans="2:20" ht="14.1" customHeight="1" x14ac:dyDescent="0.3">
      <c r="B26" s="149"/>
      <c r="C26" s="149"/>
      <c r="D26" s="149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</row>
    <row r="27" spans="2:20" ht="14.1" customHeight="1" x14ac:dyDescent="0.3">
      <c r="B27" s="150" t="s">
        <v>29</v>
      </c>
      <c r="C27" s="150"/>
      <c r="D27" s="150"/>
      <c r="E27" s="150"/>
      <c r="F27" s="10">
        <f t="shared" ref="F27:T27" si="0">SUM(F7:F26)</f>
        <v>0</v>
      </c>
      <c r="G27" s="10">
        <f t="shared" si="0"/>
        <v>0</v>
      </c>
      <c r="H27" s="10">
        <f t="shared" si="0"/>
        <v>0</v>
      </c>
      <c r="I27" s="10">
        <f t="shared" si="0"/>
        <v>0</v>
      </c>
      <c r="J27" s="10">
        <f t="shared" si="0"/>
        <v>0</v>
      </c>
      <c r="K27" s="10">
        <f t="shared" si="0"/>
        <v>0</v>
      </c>
      <c r="L27" s="10">
        <f t="shared" si="0"/>
        <v>0</v>
      </c>
      <c r="M27" s="10">
        <f t="shared" si="0"/>
        <v>0</v>
      </c>
      <c r="N27" s="10">
        <f t="shared" si="0"/>
        <v>0</v>
      </c>
      <c r="O27" s="10">
        <f t="shared" si="0"/>
        <v>0</v>
      </c>
      <c r="P27" s="10">
        <f t="shared" si="0"/>
        <v>0</v>
      </c>
      <c r="Q27" s="10">
        <f t="shared" si="0"/>
        <v>0</v>
      </c>
      <c r="R27" s="10">
        <f t="shared" si="0"/>
        <v>0</v>
      </c>
      <c r="S27" s="10">
        <f t="shared" si="0"/>
        <v>0</v>
      </c>
      <c r="T27" s="10">
        <f t="shared" si="0"/>
        <v>0</v>
      </c>
    </row>
  </sheetData>
  <mergeCells count="41">
    <mergeCell ref="B1:F1"/>
    <mergeCell ref="E4:M4"/>
    <mergeCell ref="N4:T4"/>
    <mergeCell ref="B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E27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F6"/>
  <sheetViews>
    <sheetView zoomScale="160" zoomScaleNormal="160" workbookViewId="0">
      <selection activeCell="B1" sqref="B1"/>
    </sheetView>
  </sheetViews>
  <sheetFormatPr defaultColWidth="7.6640625" defaultRowHeight="13.8" x14ac:dyDescent="0.3"/>
  <cols>
    <col min="1" max="16384" width="7.6640625" style="62"/>
  </cols>
  <sheetData>
    <row r="1" spans="2:6" ht="14.1" customHeight="1" x14ac:dyDescent="0.3">
      <c r="B1" s="128" t="str">
        <f>'Levantamento Campo'!B1</f>
        <v>Prj Estande de Tiro (50 m) – 5º BIL (Amv)</v>
      </c>
      <c r="C1" s="128"/>
      <c r="D1" s="128"/>
      <c r="E1" s="128"/>
      <c r="F1" s="128"/>
    </row>
    <row r="5" spans="2:6" ht="14.1" customHeight="1" x14ac:dyDescent="0.3">
      <c r="B5" s="116" t="s">
        <v>5</v>
      </c>
      <c r="C5" s="116" t="s">
        <v>72</v>
      </c>
    </row>
    <row r="6" spans="2:6" ht="14.1" customHeight="1" x14ac:dyDescent="0.3">
      <c r="B6" s="116"/>
      <c r="C6" s="116"/>
    </row>
  </sheetData>
  <mergeCells count="3">
    <mergeCell ref="B1:F1"/>
    <mergeCell ref="B5:B6"/>
    <mergeCell ref="C5:C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zoomScale="160" zoomScaleNormal="160" workbookViewId="0">
      <selection activeCell="C10" sqref="C10"/>
    </sheetView>
  </sheetViews>
  <sheetFormatPr defaultColWidth="7.6640625" defaultRowHeight="13.8" x14ac:dyDescent="0.3"/>
  <cols>
    <col min="1" max="16384" width="7.6640625" style="62"/>
  </cols>
  <sheetData>
    <row r="1" spans="1:6" ht="14.1" customHeight="1" x14ac:dyDescent="0.3">
      <c r="B1" s="128" t="str">
        <f>'Levantamento Campo'!B1</f>
        <v>Prj Estande de Tiro (50 m) – 5º BIL (Amv)</v>
      </c>
      <c r="C1" s="128"/>
      <c r="D1" s="128"/>
      <c r="E1" s="128"/>
      <c r="F1" s="128"/>
    </row>
    <row r="4" spans="1:6" customFormat="1" ht="14.4" x14ac:dyDescent="0.3">
      <c r="A4" s="62"/>
    </row>
    <row r="5" spans="1:6" customFormat="1" ht="14.4" x14ac:dyDescent="0.3">
      <c r="A5" s="62"/>
    </row>
    <row r="6" spans="1:6" customFormat="1" ht="14.4" x14ac:dyDescent="0.3">
      <c r="A6" s="62"/>
    </row>
    <row r="7" spans="1:6" customFormat="1" ht="14.4" x14ac:dyDescent="0.3">
      <c r="A7" s="62"/>
    </row>
    <row r="8" spans="1:6" customFormat="1" ht="14.4" x14ac:dyDescent="0.3">
      <c r="A8" s="62"/>
    </row>
  </sheetData>
  <mergeCells count="1">
    <mergeCell ref="B1:F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Levantamento Campo</vt:lpstr>
      <vt:lpstr>Serviços Preliminares</vt:lpstr>
      <vt:lpstr>Movimento de Solo</vt:lpstr>
      <vt:lpstr>Estruturas</vt:lpstr>
      <vt:lpstr>Alvenarias</vt:lpstr>
      <vt:lpstr>Acabamentos</vt:lpstr>
      <vt:lpstr>Inst Hidráulicas</vt:lpstr>
      <vt:lpstr>Inst Elétricas</vt:lpstr>
      <vt:lpstr>Inst de Telefonia e Rede</vt:lpstr>
      <vt:lpstr>Inst Mecânicas</vt:lpstr>
      <vt:lpstr>Inst Pressurizadas</vt:lpstr>
      <vt:lpstr>Inst de Segurança</vt:lpstr>
      <vt:lpstr>Comunicações Ambientais</vt:lpstr>
      <vt:lpstr>Paisagismos</vt:lpstr>
      <vt:lpstr>Entrega da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 Infra</dc:creator>
  <dc:description/>
  <cp:lastModifiedBy>Vinícius Lopes</cp:lastModifiedBy>
  <cp:revision>57</cp:revision>
  <dcterms:created xsi:type="dcterms:W3CDTF">2024-02-27T14:26:23Z</dcterms:created>
  <dcterms:modified xsi:type="dcterms:W3CDTF">2026-03-26T01:28:35Z</dcterms:modified>
  <dc:language>pt-BR</dc:language>
</cp:coreProperties>
</file>